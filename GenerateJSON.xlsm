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Denne_projektmappe" defaultThemeVersion="166925"/>
  <mc:AlternateContent xmlns:mc="http://schemas.openxmlformats.org/markup-compatibility/2006">
    <mc:Choice Requires="x15">
      <x15ac:absPath xmlns:x15ac="http://schemas.microsoft.com/office/spreadsheetml/2010/11/ac" url="https://vejlekom.sharepoint.com/sites/NTG-O365/Shared Documents/Teknologiradar/Teknologiradar 2023/"/>
    </mc:Choice>
  </mc:AlternateContent>
  <xr:revisionPtr revIDLastSave="20" documentId="8_{C8603296-6A9E-4489-AEC9-5D380B5E1677}" xr6:coauthVersionLast="47" xr6:coauthVersionMax="47" xr10:uidLastSave="{F1950073-D317-49EC-AAF3-6B893BBA4F32}"/>
  <bookViews>
    <workbookView xWindow="-28920" yWindow="-105" windowWidth="29040" windowHeight="15840" firstSheet="1" activeTab="6" xr2:uid="{00000000-000D-0000-FFFF-FFFF00000000}"/>
  </bookViews>
  <sheets>
    <sheet name="Økonomi og Arbejdsmarked" sheetId="7" r:id="rId1"/>
    <sheet name="Kultur og Sundhed" sheetId="3" r:id="rId2"/>
    <sheet name="Teknik og Miljø" sheetId="6" r:id="rId3"/>
    <sheet name="Børn og Unge" sheetId="5" r:id="rId4"/>
    <sheet name="Velfærd" sheetId="4" r:id="rId5"/>
    <sheet name="Kommunaldirektørens Stabe" sheetId="2" r:id="rId6"/>
    <sheet name="Overordnet" sheetId="1" r:id="rId7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1" l="1"/>
  <c r="E35" i="1"/>
  <c r="E36" i="1"/>
  <c r="E37" i="1"/>
  <c r="E34" i="1"/>
  <c r="E26" i="1"/>
  <c r="E27" i="1"/>
  <c r="E28" i="1"/>
  <c r="E29" i="1"/>
  <c r="E30" i="1"/>
  <c r="E31" i="1"/>
  <c r="E32" i="1"/>
  <c r="E25" i="1"/>
  <c r="E23" i="1"/>
  <c r="E18" i="1"/>
  <c r="E17" i="1"/>
  <c r="E15" i="1"/>
  <c r="H35" i="1"/>
  <c r="H36" i="1"/>
  <c r="H37" i="1"/>
  <c r="H34" i="1"/>
  <c r="H26" i="1"/>
  <c r="H27" i="1"/>
  <c r="H28" i="1"/>
  <c r="H29" i="1"/>
  <c r="H30" i="1"/>
  <c r="H31" i="1"/>
  <c r="H32" i="1"/>
  <c r="H25" i="1"/>
  <c r="H23" i="1"/>
  <c r="H18" i="1"/>
  <c r="H17" i="1"/>
  <c r="H13" i="1"/>
  <c r="H14" i="1"/>
  <c r="H15" i="1"/>
  <c r="H12" i="1"/>
  <c r="H8" i="1"/>
  <c r="H9" i="1"/>
  <c r="H7" i="1"/>
  <c r="F35" i="1"/>
  <c r="F36" i="1"/>
  <c r="F37" i="1"/>
  <c r="F34" i="1"/>
  <c r="F26" i="1"/>
  <c r="F27" i="1"/>
  <c r="F28" i="1"/>
  <c r="F29" i="1"/>
  <c r="F30" i="1"/>
  <c r="F31" i="1"/>
  <c r="F32" i="1"/>
  <c r="F25" i="1"/>
  <c r="F23" i="1"/>
  <c r="F18" i="1"/>
  <c r="F17" i="1"/>
  <c r="F13" i="1"/>
  <c r="F14" i="1"/>
  <c r="F15" i="1"/>
  <c r="F12" i="1"/>
  <c r="F8" i="1"/>
  <c r="F9" i="1"/>
  <c r="F7" i="1"/>
  <c r="J35" i="1"/>
  <c r="J36" i="1"/>
  <c r="J37" i="1"/>
  <c r="J34" i="1"/>
  <c r="J26" i="1"/>
  <c r="J27" i="1"/>
  <c r="J28" i="1"/>
  <c r="J29" i="1"/>
  <c r="J30" i="1"/>
  <c r="J31" i="1"/>
  <c r="J32" i="1"/>
  <c r="J25" i="1"/>
  <c r="J23" i="1"/>
  <c r="J18" i="1"/>
  <c r="J17" i="1"/>
  <c r="J13" i="1"/>
  <c r="J14" i="1"/>
  <c r="J15" i="1"/>
  <c r="J12" i="1"/>
  <c r="J8" i="1"/>
  <c r="J9" i="1"/>
  <c r="J7" i="1"/>
  <c r="I35" i="1"/>
  <c r="I36" i="1"/>
  <c r="I37" i="1"/>
  <c r="I34" i="1"/>
  <c r="I26" i="1"/>
  <c r="I27" i="1"/>
  <c r="I28" i="1"/>
  <c r="I29" i="1"/>
  <c r="I30" i="1"/>
  <c r="I31" i="1"/>
  <c r="I32" i="1"/>
  <c r="I25" i="1"/>
  <c r="I23" i="1"/>
  <c r="I18" i="1"/>
  <c r="I17" i="1"/>
  <c r="I13" i="1"/>
  <c r="I14" i="1"/>
  <c r="I15" i="1"/>
  <c r="I12" i="1"/>
  <c r="I8" i="1"/>
  <c r="I9" i="1"/>
  <c r="I7" i="1"/>
  <c r="G35" i="1"/>
  <c r="G36" i="1"/>
  <c r="G37" i="1"/>
  <c r="G34" i="1"/>
  <c r="G26" i="1"/>
  <c r="G27" i="1"/>
  <c r="G28" i="1"/>
  <c r="G29" i="1"/>
  <c r="G30" i="1"/>
  <c r="G31" i="1"/>
  <c r="G32" i="1"/>
  <c r="G25" i="1"/>
  <c r="G23" i="1"/>
  <c r="G18" i="1"/>
  <c r="G17" i="1"/>
  <c r="G13" i="1"/>
  <c r="G14" i="1"/>
  <c r="G15" i="1"/>
  <c r="G12" i="1"/>
  <c r="G9" i="1"/>
  <c r="G8" i="1"/>
  <c r="G7" i="1"/>
  <c r="M35" i="1"/>
  <c r="M36" i="1"/>
  <c r="M37" i="1"/>
  <c r="M34" i="1"/>
  <c r="M32" i="1"/>
  <c r="M27" i="1"/>
  <c r="M29" i="1"/>
  <c r="M30" i="1"/>
  <c r="M31" i="1"/>
  <c r="M26" i="1"/>
  <c r="M25" i="1"/>
  <c r="M23" i="1"/>
  <c r="M18" i="1"/>
  <c r="M17" i="1"/>
  <c r="M15" i="1"/>
  <c r="M14" i="1"/>
  <c r="M13" i="1"/>
  <c r="M12" i="1"/>
  <c r="M8" i="1"/>
  <c r="M9" i="1"/>
  <c r="M7" i="1"/>
  <c r="K7" i="1"/>
  <c r="K35" i="1"/>
  <c r="L35" i="1" s="1"/>
  <c r="M28" i="1" l="1"/>
  <c r="K8" i="1"/>
  <c r="L8" i="1" s="1"/>
  <c r="K9" i="1"/>
  <c r="L9" i="1" s="1"/>
  <c r="K12" i="1"/>
  <c r="L12" i="1" s="1"/>
  <c r="K13" i="1"/>
  <c r="L13" i="1" s="1"/>
  <c r="K14" i="1"/>
  <c r="L14" i="1" s="1"/>
  <c r="K15" i="1"/>
  <c r="L15" i="1" s="1"/>
  <c r="K17" i="1"/>
  <c r="L17" i="1" s="1"/>
  <c r="K18" i="1"/>
  <c r="L18" i="1" s="1"/>
  <c r="K23" i="1"/>
  <c r="L23" i="1" s="1"/>
  <c r="K25" i="1"/>
  <c r="L25" i="1" s="1"/>
  <c r="K26" i="1"/>
  <c r="L26" i="1" s="1"/>
  <c r="K27" i="1"/>
  <c r="L27" i="1" s="1"/>
  <c r="K28" i="1"/>
  <c r="L28" i="1" s="1"/>
  <c r="K29" i="1"/>
  <c r="L29" i="1" s="1"/>
  <c r="K30" i="1"/>
  <c r="L30" i="1" s="1"/>
  <c r="K31" i="1"/>
  <c r="L31" i="1" s="1"/>
  <c r="K32" i="1"/>
  <c r="L32" i="1" s="1"/>
  <c r="K34" i="1"/>
  <c r="L34" i="1" s="1"/>
  <c r="K36" i="1"/>
  <c r="L36" i="1" s="1"/>
  <c r="K37" i="1"/>
  <c r="L37" i="1" s="1"/>
  <c r="L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tc={46319BF3-8945-4240-86C0-99EAA4300BA8}</author>
    <author>tc={405B222F-2746-4C62-AEB7-EFF0132C74AA}</author>
    <author>NIKFL</author>
    <author>tc={680B15EA-9D72-4B4C-B8E9-FECE9F66B75B}</author>
    <author>tc={CE122A90-4191-41BA-8495-ED70D3772EB9}</author>
    <author>andyr</author>
    <author>tc={4286721E-35FA-4109-B900-5B6EDD07F11C}</author>
    <author>tc={09449F6A-F983-4525-8080-D6C5AECCD8B4}</author>
    <author>tc={7425BF70-CA7E-4465-BF82-CC924EB2B446}</author>
  </authors>
  <commentList>
    <comment ref="E6" authorId="0" shapeId="0" xr:uid="{46319BF3-8945-4240-86C0-99EAA4300BA8}">
      <text>
        <t xml:space="preserve">[Trådet kommentar]
Din version af Excel lader dig læse denne trådede kommentar. Eventuelle ændringer vil dog blive fjernet, hvis filen åbnes i en nyere version af Excel. Få mere at vide: https://go.microsoft.com/fwlink/?linkid=870924
Kommentar:
    Matterport - Virtualisering af jobcentret / wayfinidng, mv. </t>
      </text>
    </comment>
    <comment ref="E10" authorId="1" shapeId="0" xr:uid="{00000000-0006-0000-0000-0000010000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Bertha - telefonrobot
Besvar:
    Google oversæt til oversættelse af sprog/ift. tolkning.</t>
      </text>
    </comment>
    <comment ref="E11" authorId="2" shapeId="0" xr:uid="{00000000-0006-0000-0000-000002000000}">
      <text>
        <r>
          <rPr>
            <sz val="11"/>
            <color theme="1"/>
            <rFont val="Calibri"/>
            <family val="2"/>
            <scheme val="minor"/>
          </rPr>
          <t xml:space="preserve">NIKFL:
Deltagelse i signaturprojekt vedr. anvendelse af Proces Mining på arbejdsmarkedsområdet.
Er gået i gang med at analysere data på arbejdsmarkedsområdet. Sidder og analysere data på workshops på at finde den konkrete use cases/værdiskabelse. </t>
        </r>
      </text>
    </comment>
    <comment ref="E12" authorId="2" shapeId="0" xr:uid="{00000000-0006-0000-0000-000003000000}">
      <text>
        <r>
          <rPr>
            <sz val="11"/>
            <color theme="1"/>
            <rFont val="Calibri"/>
            <family val="2"/>
            <scheme val="minor"/>
          </rPr>
          <t xml:space="preserve">NIKFL:
Signaturprojekt vedr. fordeling af Mails. Ny signaturprojekt-ansøgning vedr. journalisering af mails.(Anne følger op)
Bertha - telefonrobot
Arbejdsmarkedsområdet: Overvejelser ift. Fagsystemer og indbygget i Fasit  - men er et tilkøbsmodul.
- Asta. Fortsat ikke købt, men overvejelse.  </t>
        </r>
      </text>
    </comment>
    <comment ref="E13" authorId="3" shapeId="0" xr:uid="{680B15EA-9D72-4B4C-B8E9-FECE9F66B75B}">
      <text>
        <t xml:space="preserve">[Trådet kommentar]
Din version af Excel lader dig læse denne trådede kommentar. Eventuelle ændringer vil dog blive fjernet, hvis filen åbnes i en nyere version af Excel. Få mere at vide: https://go.microsoft.com/fwlink/?linkid=870924
Kommentar:
    Strategiplanen - sensorer i Jobcenteret. Problemer med mødelokaler - oversigt over hvad sker der. </t>
      </text>
    </comment>
    <comment ref="E15" authorId="4" shapeId="0" xr:uid="{CE122A90-4191-41BA-8495-ED70D3772EB9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En del - GDPR-breve m. oplysningspligt.</t>
      </text>
    </comment>
    <comment ref="E24" authorId="2" shapeId="0" xr:uid="{00000000-0006-0000-0000-000004000000}">
      <text>
        <r>
          <rPr>
            <sz val="11"/>
            <color theme="1"/>
            <rFont val="Calibri"/>
            <family val="2"/>
            <scheme val="minor"/>
          </rPr>
          <t xml:space="preserve">NIKFL:
Avatar til guideing af gæster til Tour De France og ift. turister generelt - VisitVejle
Overvejelse ift. digital receptionist. 
Overvejelse - Jobunivers en af dem har en virtual samtaleguide. </t>
        </r>
      </text>
    </comment>
    <comment ref="E25" authorId="2" shapeId="0" xr:uid="{00000000-0006-0000-0000-000005000000}">
      <text>
        <r>
          <rPr>
            <sz val="11"/>
            <color theme="1"/>
            <rFont val="Calibri"/>
            <family val="2"/>
            <scheme val="minor"/>
          </rPr>
          <t xml:space="preserve">NIKFL:
Avatar til guideing af gæster til Tour De France og ift. turister generelt - VisitVejle
- Bertha
- En del af digitale jobunivers. 3 leverandører, en af dem har en virtual samtaleguide. 
</t>
        </r>
      </text>
    </comment>
    <comment ref="E26" authorId="5" shapeId="0" xr:uid="{00000000-0006-0000-0000-000006000000}">
      <text>
        <r>
          <rPr>
            <sz val="11"/>
            <color theme="1"/>
            <rFont val="Calibri"/>
            <family val="2"/>
            <scheme val="minor"/>
          </rPr>
          <t xml:space="preserve">andyr:
"Kvindeprojekt" - anden etnisk baggrund og ikke har arbejdet. VR-briller fulgte med en arbejdsplads for at simulere en arbejdshverdag. 
</t>
        </r>
      </text>
    </comment>
    <comment ref="E28" authorId="6" shapeId="0" xr:uid="{4286721E-35FA-4109-B900-5B6EDD07F11C}">
      <text>
        <t xml:space="preserve">[Trådet kommentar]
Din version af Excel lader dig læse denne trådede kommentar. Eventuelle ændringer vil dog blive fjernet, hvis filen åbnes i en nyere version af Excel. Få mere at vide: https://go.microsoft.com/fwlink/?linkid=870924
Kommentar:
    IB - i IT. 
</t>
      </text>
    </comment>
    <comment ref="E32" authorId="5" shapeId="0" xr:uid="{00000000-0006-0000-0000-000007000000}">
      <text>
        <r>
          <rPr>
            <sz val="11"/>
            <color theme="1"/>
            <rFont val="Calibri"/>
            <family val="2"/>
            <scheme val="minor"/>
          </rPr>
          <t xml:space="preserve">andyr:
FrontDesk / Jobnet til selvbetjening
Ansøgning om ydelser, mv. 
- Kommer ift. det virtuelle jobunivers. Skal selv kunne lave match. </t>
        </r>
      </text>
    </comment>
    <comment ref="E33" authorId="7" shapeId="0" xr:uid="{09449F6A-F983-4525-8080-D6C5AECCD8B4}">
      <text>
        <t xml:space="preserve">[Trådet kommentar]
Din version af Excel lader dig læse denne trådede kommentar. Eventuelle ændringer vil dog blive fjernet, hvis filen åbnes i en nyere version af Excel. Få mere at vide: https://go.microsoft.com/fwlink/?linkid=870924
Kommentar:
    Egen profil på LinkedIn. </t>
      </text>
    </comment>
    <comment ref="E34" authorId="5" shapeId="0" xr:uid="{00000000-0006-0000-0000-000008000000}">
      <text>
        <r>
          <rPr>
            <sz val="11"/>
            <color theme="1"/>
            <rFont val="Calibri"/>
            <family val="2"/>
            <scheme val="minor"/>
          </rPr>
          <t xml:space="preserve">andyr:
Tilkøbsmodul i Fasit - borgerapp, som borgeren skal downloade for at kunne interagere. Jobcenteret skal selv starte kommunikationen op. Den arbejdes der videre med at få lov til at købe. 
</t>
        </r>
      </text>
    </comment>
    <comment ref="E35" authorId="5" shapeId="0" xr:uid="{00000000-0006-0000-0000-000009000000}">
      <text>
        <r>
          <rPr>
            <sz val="11"/>
            <color theme="1"/>
            <rFont val="Calibri"/>
            <family val="2"/>
            <scheme val="minor"/>
          </rPr>
          <t xml:space="preserve">andyr:
Digitale møder m. borgerne. 
- Dreambrooker til videomateriale (internt). Undervisning og information. </t>
        </r>
      </text>
    </comment>
    <comment ref="E43" authorId="8" shapeId="0" xr:uid="{7425BF70-CA7E-4465-BF82-CC924EB2B446}">
      <text>
        <t xml:space="preserve">[Trådet kommentar]
Din version af Excel lader dig læse denne trådede kommentar. Eventuelle ændringer vil dog blive fjernet, hvis filen åbnes i en nyere version af Excel. Få mere at vide: https://go.microsoft.com/fwlink/?linkid=870924
Kommentar:
    Trævanding på T&amp;M
Busser på Velfærd
Projekt omkring Powerapps i D&amp;IT.
Besvar:
    XFlow - KomStab
Besvar:
    Delta - giver en 4. 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NIKFL</author>
    <author>tc={2F2395AD-9AD8-4397-90BD-D5256FC812C4}</author>
    <author>tc={F26921A7-229C-4B3A-9D04-DF993A273AF3}</author>
    <author>tc={E7CD3377-03E8-4E8E-9FE2-B84A99CF761F}</author>
    <author>tc={598CC29B-4306-4D9F-936E-CEA46E6AC031}</author>
    <author>tc={B9092306-6BE0-4F7E-BF02-9F8C7C87E0B9}</author>
    <author>Nicklas Korsgaard Birch Fledelius  IT - Drift &amp; Support  Økonomi  Vejle Kommune</author>
    <author>tc={0F96226B-D515-4D8E-90CB-0CA744945814}</author>
    <author>tc={B1B8B852-3C63-47FD-84B9-1214F49B30D6}</author>
  </authors>
  <commentList>
    <comment ref="E6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NIKFL:
Bibliotketet følger med ift. wayfinding i en Digital Twin, som Herning kører på. Matterport - Centralbibliotekerne. 
- KunstMuseet 360 graders optagelser af 2 udstillinger - tekst, video, mv. Afprøvet, men fortsætter ikke.
3D-model på Kunstmuseet/Kulturmuseet til udstillinger - Mads</t>
        </r>
      </text>
    </comment>
    <comment ref="E8" authorId="1" shapeId="0" xr:uid="{2F2395AD-9AD8-4397-90BD-D5256FC812C4}">
      <text>
        <t xml:space="preserve">[Trådet kommentar]
Din version af Excel lader dig læse denne trådede kommentar. Eventuelle ændringer vil dog blive fjernet, hvis filen åbnes i en nyere version af Excel. Få mere at vide: https://go.microsoft.com/fwlink/?linkid=870924
Kommentar:
    Kameraprojektet - Machinelearing algortime. 
Tællere alm. i Bibliotektet. </t>
      </text>
    </comment>
    <comment ref="E10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 xml:space="preserve">NIKFL:
Tandplejen? Skal følges op. Heidi Rod Breum
Talegenkendelse i Nexus -&gt; IT Velfærd
Google translate ift. udstillingstekster på Museerne. 
Borgerservice ift. Voice evt. chat - nyt projekt.
</t>
        </r>
      </text>
    </comment>
    <comment ref="E12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 xml:space="preserve">NIKFL:
Systematic - automatisere indkøb af materiale på baggrund af data og ekstern kilder. (Michael finder navn) - Ikke noget nyt. 
IMS - projektansøgning. Kører i drift. overtaget for det andre projekt. 
AI tegnerobot -&gt; genkende menneske/object baseret på en tegning. Kører videre. 
Museerne ift. tekstgeneringssoftware til formidling og tekst - fremtidigt projekt. 
Integreret på bibliotekets hjemmeside ift. forslag af lignende bøger, når der søges - samarbejde med CMS-leverandør. </t>
        </r>
      </text>
    </comment>
    <comment ref="E13" authorId="2" shapeId="0" xr:uid="{00000000-0006-0000-0100-000004000000}">
      <text>
        <t xml:space="preserve">[Trådet kommentar]
Din version af Excel lader dig læse denne trådede kommentar. Eventuelle ændringer vil dog blive fjernet, hvis filen åbnes i en nyere version af Excel. Få mere at vide: https://go.microsoft.com/fwlink/?linkid=870924
Kommentar:
    Museumsprojekt - tracking af besøgende.
Besvar:
    Haller ift. Halmonitors
Besvar:
    Arguadio på bibliotektet - adgang til administrationsmodul. Analyse værktøj af brug af toiletter. 
Besvar:
    Måske noget Musikteatret? </t>
      </text>
    </comment>
    <comment ref="E15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NIKFL:
Henvisning til KMD Nexus
Borgere over 75 skal have brev, det søger RPA selv ned i CPR-registret. 
Borgerservice - søge borgere om de var i landet (?)
Tilflytning på +65 ift. AktivSammen.
Ferieaktiviteter -&gt; Aktører udfylder en formuluar i Umbraco, som flyttes over i andet system (Henrik)</t>
        </r>
      </text>
    </comment>
    <comment ref="E23" authorId="3" shapeId="0" xr:uid="{00000000-0006-0000-0100-000006000000}">
      <text>
        <t xml:space="preserve">[Trådet kommentar]
Din version af Excel lader dig læse denne trådede kommentar. Eventuelle ændringer vil dog blive fjernet, hvis filen åbnes i en nyere version af Excel. Få mere at vide: https://go.microsoft.com/fwlink/?linkid=870924
Kommentar:
    Det udviddet biblioteksrum (projektledelse). Kunstmuseum - AR-app.
Besvar:
    Bibliobitterne på bibliotekerne. 
Besvar:
    Talt om på Museerne - AR har potentiale på området, men testes ikke af endnu. 
Besvar:
    Maleri af Tour de France, hvor hvis der scannes, så cykles der henover. </t>
      </text>
    </comment>
    <comment ref="E24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 xml:space="preserve">NIKFL:
Måske bibliotketet? 
Måske også på Museerne?
</t>
        </r>
      </text>
    </comment>
    <comment ref="E25" authorId="0" shapeId="0" xr:uid="{00000000-0006-0000-0100-000008000000}">
      <text>
        <r>
          <rPr>
            <b/>
            <sz val="9"/>
            <color indexed="81"/>
            <rFont val="Tahoma"/>
            <charset val="1"/>
          </rPr>
          <t>NIKFL:</t>
        </r>
        <r>
          <rPr>
            <sz val="9"/>
            <color indexed="81"/>
            <rFont val="Tahoma"/>
            <charset val="1"/>
          </rPr>
          <t xml:space="preserve">
Borgerserivce overvejet - men afventer. </t>
        </r>
      </text>
    </comment>
    <comment ref="E26" authorId="0" shapeId="0" xr:uid="{00000000-0006-0000-0100-000009000000}">
      <text>
        <r>
          <rPr>
            <sz val="11"/>
            <color theme="1"/>
            <rFont val="Calibri"/>
            <family val="2"/>
            <scheme val="minor"/>
          </rPr>
          <t xml:space="preserve">NIKFL:
Bibliotekterne har sat det lidt på pause grundet corona. '
Laver lidt med borgere afprøvning og formidling. 
Måske på genoptræningsdelen? (Sebastian Bønin(?)
</t>
        </r>
      </text>
    </comment>
    <comment ref="E27" authorId="0" shapeId="0" xr:uid="{00000000-0006-0000-0100-00000A000000}">
      <text>
        <r>
          <rPr>
            <sz val="11"/>
            <color theme="1"/>
            <rFont val="Calibri"/>
            <family val="2"/>
            <scheme val="minor"/>
          </rPr>
          <t xml:space="preserve">NIKFL:
Museumsprojekt m. heatmaps og flow. 
GPS-koordinator ved udgravning på GIS-kort. </t>
        </r>
      </text>
    </comment>
    <comment ref="E28" authorId="0" shapeId="0" xr:uid="{00000000-0006-0000-0100-00000B000000}">
      <text>
        <r>
          <rPr>
            <sz val="11"/>
            <color theme="1"/>
            <rFont val="Calibri"/>
            <family val="2"/>
            <scheme val="minor"/>
          </rPr>
          <t>NIKFL:
Sorteringsrobot - Solveig. 
Bibliotekerne vil gerne have en robot, der skal køre rund (idé)</t>
        </r>
      </text>
    </comment>
    <comment ref="E29" authorId="4" shapeId="0" xr:uid="{598CC29B-4306-4D9F-936E-CEA46E6AC031}">
      <text>
        <t xml:space="preserve">[Trådet kommentar]
Din version af Excel lader dig læse denne trådede kommentar. Eventuelle ændringer vil dog blive fjernet, hvis filen åbnes i en nyere version af Excel. Få mere at vide: https://go.microsoft.com/fwlink/?linkid=870924
Kommentar:
    Droner til luftfotoes til ærkelogi. </t>
      </text>
    </comment>
    <comment ref="E30" authorId="0" shapeId="0" xr:uid="{00000000-0006-0000-0100-00000C000000}">
      <text>
        <r>
          <rPr>
            <b/>
            <sz val="9"/>
            <color indexed="81"/>
            <rFont val="Tahoma"/>
            <charset val="1"/>
          </rPr>
          <t>NIKFL:</t>
        </r>
        <r>
          <rPr>
            <sz val="9"/>
            <color indexed="81"/>
            <rFont val="Tahoma"/>
            <charset val="1"/>
          </rPr>
          <t xml:space="preserve">
Bibliotketerne har 3D-printer
Tandplejen 3D-scanninger af tænder og aftryk til print. </t>
        </r>
      </text>
    </comment>
    <comment ref="E32" authorId="0" shapeId="0" xr:uid="{00000000-0006-0000-0100-00000D000000}">
      <text>
        <r>
          <rPr>
            <sz val="11"/>
            <color theme="1"/>
            <rFont val="Calibri"/>
            <family val="2"/>
            <scheme val="minor"/>
          </rPr>
          <t xml:space="preserve">NIKFL:
Lokaleskærme til møderum
Formidlingsskærme på bibliotekterne 
Selvbetjening ift. de 5 biblioteker. 
Genoptræning - fremmøderegistering
FrontDesk - fremmøderegistering
</t>
        </r>
      </text>
    </comment>
    <comment ref="E33" authorId="0" shapeId="0" xr:uid="{00000000-0006-0000-0100-00000E000000}">
      <text>
        <r>
          <rPr>
            <sz val="11"/>
            <color theme="1"/>
            <rFont val="Calibri"/>
            <family val="2"/>
            <scheme val="minor"/>
          </rPr>
          <t xml:space="preserve">NIKFL:
Instagram og Facebook bruges på bibliotekterne. 
Alle bruger sociale teknologier. 
Citizinlab til aktiviteter og oplevelsesplatform. </t>
        </r>
      </text>
    </comment>
    <comment ref="E34" authorId="5" shapeId="0" xr:uid="{00000000-0006-0000-0100-00000F0000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Superbrugsen-app-lignende. Scan og lån.
Besvar:
    Museerne har opsagt deres app. Alm. webbaseret løsning i stedet. 
Skyhost - intelligent booking (intelligent flådestyring)
Ærkeloerne bruger app til timeregistrering Smart Klik. 
Besvar:
    Genoptræning - Sticks. Borgere kan bruge app derhjemme til træning</t>
      </text>
    </comment>
    <comment ref="E35" authorId="0" shapeId="0" xr:uid="{00000000-0006-0000-0100-000010000000}">
      <text>
        <r>
          <rPr>
            <sz val="11"/>
            <color theme="1"/>
            <rFont val="Calibri"/>
            <family val="2"/>
            <scheme val="minor"/>
          </rPr>
          <t xml:space="preserve">NIKFL:
Borgermøder i Teams under corona
Arrangementer på bibliotekterne virutelt. 
Museerne på bagkant - fordrag 
Webinar til foreninger/folkebibliotekerne </t>
        </r>
      </text>
    </comment>
    <comment ref="E38" authorId="6" shapeId="0" xr:uid="{636C7516-EEC5-49EB-99EB-25F2016ABBE6}">
      <text>
        <r>
          <rPr>
            <sz val="11"/>
            <color theme="1"/>
            <rFont val="Calibri"/>
            <family val="2"/>
            <scheme val="minor"/>
          </rPr>
          <t xml:space="preserve">Biblioteketsskibet - 
</t>
        </r>
      </text>
    </comment>
    <comment ref="E41" authorId="7" shapeId="0" xr:uid="{0F96226B-D515-4D8E-90CB-0CA744945814}">
      <text>
        <t xml:space="preserve">[Trådet kommentar]
Din version af Excel lader dig læse denne trådede kommentar. Eventuelle ændringer vil dog blive fjernet, hvis filen åbnes i en nyere version af Excel. Få mere at vide: https://go.microsoft.com/fwlink/?linkid=870924
Kommentar:
    Trævanding på T&amp;M
Busser på Velfærd
Projekt omkring Powerapps i D&amp;IT.
Besvar:
    XFlow - KomStab
Besvar:
    Delta - giver en 4. </t>
      </text>
    </comment>
    <comment ref="E42" authorId="8" shapeId="0" xr:uid="{B1B8B852-3C63-47FD-84B9-1214F49B30D6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Tællerprojekt på bibliotektet/Kunstmueet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NIKFL</author>
    <author>tc={50F5CD44-D9C6-46FB-A84A-3042EA0357F2}</author>
    <author>tc={19779F97-48FC-4CAE-BAB2-51C0EF49BB50}</author>
    <author>tc={CC5F7153-C7AA-4E27-8EBB-A2EE6C918765}</author>
    <author>tc={EBB03D3B-DACB-4946-9A74-03BC6DEF25AF}</author>
    <author>tc={0F4B0556-6003-4A61-8CB2-928354660479}</author>
    <author>tc={E2825AC4-9C27-4B93-8724-69B425AF0D09}</author>
    <author>tc={73FE34DE-AA98-4E42-BBB1-FF9B16D41D8B}</author>
    <author>tc={67FCDD39-12AD-483F-A873-2C6627FE92BA}</author>
    <author>tc={74B005A7-2154-4066-AC52-8D359FA70CAB}</author>
    <author>tc={C6B73289-8803-4119-A7D0-985360EB6657}</author>
    <author>tc={C6805D10-44E3-40C1-B2A1-3440D0496FC8}</author>
    <author>tc={C01D879C-69A2-4FA6-B744-3191C47BD7D8}</author>
    <author>tc={945C0EA5-7ABE-4953-B86D-A33EA7119502}</author>
    <author>tc={8C499A9B-76AA-4DFE-BFED-149418FEAD40}</author>
    <author>tc={6D806CD1-30E0-4A87-9E59-0402C0828C3B}</author>
    <author>tc={92BBF2FF-3523-40A3-A62B-9850C94AB857}</author>
    <author>tc={0FBD10B2-C158-4045-8091-A284FF115FFB}</author>
  </authors>
  <commentList>
    <comment ref="E6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NIKFL:
 3D-model af byen, hvor det er muligt at tilføje nye bygninger og dermed visualisere, hvordan byrummet vil ændres såfremt en given bygning opføres i Økolariet. 
Samarbejde med Alexandra Instituttet ift. skråfotos af bygninger - GeoForum (Poul-Henrik)</t>
        </r>
      </text>
    </comment>
    <comment ref="E7" authorId="1" shapeId="0" xr:uid="{00000000-0006-0000-0200-0000020000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Helium tidligere talt om (anders/Nicklas(</t>
      </text>
    </comment>
    <comment ref="E8" authorId="2" shapeId="0" xr:uid="{00000000-0006-0000-0200-0000030000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- Kamera i gågaden (test)
- Parkeringsprojektet m. kamera</t>
      </text>
    </comment>
    <comment ref="E10" authorId="3" shapeId="0" xr:uid="{00000000-0006-0000-0200-0000040000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Potenitale: Giv et praj - behandling af tekst i appen</t>
      </text>
    </comment>
    <comment ref="E11" authorId="4" shapeId="0" xr:uid="{00000000-0006-0000-0200-0000050000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Potentiale evt. på byggesager</t>
      </text>
    </comment>
    <comment ref="E12" authorId="5" shapeId="0" xr:uid="{00000000-0006-0000-0200-000006000000}">
      <text>
        <t xml:space="preserve">[Trådet kommentar]
Din version af Excel lader dig læse denne trådede kommentar. Eventuelle ændringer vil dog blive fjernet, hvis filen åbnes i en nyere version af Excel. Få mere at vide: https://go.microsoft.com/fwlink/?linkid=870924
Kommentar:
    - GIS-software: Extenstion til at træen en algoritme til at optælle evt. parkeringspladser via loftfotos. 
- Baltic LSC. Identificering og genkende af huller i vejen og kategorisering af hullerne. 
- Tællerprojekt m. kamera / Computervision ift. biler eller personer. </t>
      </text>
    </comment>
    <comment ref="E13" authorId="6" shapeId="0" xr:uid="{00000000-0006-0000-0200-0000070000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- Letparkering
- Fyldemælder  / Affaldssensorer
- Mountainbikerouter / stiruter 
- Tæller af biler og mennesker i gågaden / andre steder
- 
Besvar:
    iLocater - tøming af brønde</t>
      </text>
    </comment>
    <comment ref="E16" authorId="7" shapeId="0" xr:uid="{00000000-0006-0000-0200-000008000000}">
      <text>
        <t xml:space="preserve">[Trådet kommentar]
Din version af Excel lader dig læse denne trådede kommentar. Eventuelle ændringer vil dog blive fjernet, hvis filen åbnes i en nyere version af Excel. Få mere at vide: https://go.microsoft.com/fwlink/?linkid=870924
Kommentar:
    Letparkering - Azure
O365, mv. </t>
      </text>
    </comment>
    <comment ref="E23" authorId="8" shapeId="0" xr:uid="{00000000-0006-0000-0200-000009000000}">
      <text>
        <t xml:space="preserve">[Trådet kommentar]
Din version af Excel lader dig læse denne trådede kommentar. Eventuelle ændringer vil dog blive fjernet, hvis filen åbnes i en nyere version af Excel. Få mere at vide: https://go.microsoft.com/fwlink/?linkid=870924
Kommentar:
    Unity - sæt et kamera ind og send billede til Windows-platform. Modul til AR.
Vejprojekter - CORA (løvens hule) 
Økolariet ift. klimaformidling </t>
      </text>
    </comment>
    <comment ref="E24" authorId="9" shapeId="0" xr:uid="{00000000-0006-0000-0200-00000A0000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Avatar / Digital assistent til RCV</t>
      </text>
    </comment>
    <comment ref="E26" authorId="10" shapeId="0" xr:uid="{00000000-0006-0000-0200-00000B000000}">
      <text>
        <t xml:space="preserve">[Trådet kommentar]
Din version af Excel lader dig læse denne trådede kommentar. Eventuelle ændringer vil dog blive fjernet, hvis filen åbnes i en nyere version af Excel. Få mere at vide: https://go.microsoft.com/fwlink/?linkid=870924
Kommentar:
    - RCV - Ekstra lag, eksporteret til en VR-model. 
</t>
      </text>
    </comment>
    <comment ref="E27" authorId="11" shapeId="0" xr:uid="{00000000-0006-0000-0200-00000C000000}">
      <text>
        <t xml:space="preserve">[Trådet kommentar]
Din version af Excel lader dig læse denne trådede kommentar. Eventuelle ændringer vil dog blive fjernet, hvis filen åbnes i en nyere version af Excel. Få mere at vide: https://go.microsoft.com/fwlink/?linkid=870924
Kommentar:
    - Tracking af biler / snerydning 
- Tællerprojekt -&gt; Vestlig/østlig retning af biler/gående
- Evt. tracking af cykelister og retning (Jette?)
- 
</t>
      </text>
    </comment>
    <comment ref="E28" authorId="12" shapeId="0" xr:uid="{00000000-0006-0000-0200-00000D000000}">
      <text>
        <t xml:space="preserve">[Trådet kommentar]
Din version af Excel lader dig læse denne trådede kommentar. Eventuelle ændringer vil dog blive fjernet, hvis filen åbnes i en nyere version af Excel. Få mere at vide: https://go.microsoft.com/fwlink/?linkid=870924
Kommentar:
    - Robotplæneklipper
- Stregerobot "Svend" / optegningsrobot (Michelle) </t>
      </text>
    </comment>
    <comment ref="E29" authorId="13" shapeId="0" xr:uid="{00000000-0006-0000-0200-00000E000000}">
      <text>
        <t xml:space="preserve">[Trådet kommentar]
Din version af Excel lader dig læse denne trådede kommentar. Eventuelle ændringer vil dog blive fjernet, hvis filen åbnes i en nyere version af Excel. Få mere at vide: https://go.microsoft.com/fwlink/?linkid=870924
Kommentar:
    Videooptagningsdrone
Videoklip / klipper 3D ind i det
Digital opmåling (vandresoir)
</t>
      </text>
    </comment>
    <comment ref="E32" authorId="14" shapeId="0" xr:uid="{00000000-0006-0000-0200-00000F0000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Booking af biler</t>
      </text>
    </comment>
    <comment ref="E33" authorId="15" shapeId="0" xr:uid="{00000000-0006-0000-0200-000010000000}">
      <text>
        <t xml:space="preserve">[Trådet kommentar]
Din version af Excel lader dig læse denne trådede kommentar. Eventuelle ændringer vil dog blive fjernet, hvis filen åbnes i en nyere version af Excel. Få mere at vide: https://go.microsoft.com/fwlink/?linkid=870924
Kommentar:
    CitizinLab, Facebook, LinkedIn, Instagram, </t>
      </text>
    </comment>
    <comment ref="E34" authorId="16" shapeId="0" xr:uid="{00000000-0006-0000-0200-0000110000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- Giv et praj
- GIS Collector / Explorer
- PowerApps (i opstart)
- iLocator har en app 
- Pick-up renovation Ressource &amp; Genbrug</t>
      </text>
    </comment>
    <comment ref="E35" authorId="17" shapeId="0" xr:uid="{00000000-0006-0000-0200-000012000000}">
      <text>
        <t xml:space="preserve">[Trådet kommentar]
Din version af Excel lader dig læse denne trådede kommentar. Eventuelle ændringer vil dog blive fjernet, hvis filen åbnes i en nyere version af Excel. Få mere at vide: https://go.microsoft.com/fwlink/?linkid=870924
Kommentar:
    Mest internt - men også LIVE Events. 
Besvar:
    Udvalgsmøder - hybrid 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NIKFL</author>
    <author>andyr</author>
  </authors>
  <commentList>
    <comment ref="E10" authorId="0" shapeId="0" xr:uid="{00000000-0006-0000-0300-000001000000}">
      <text>
        <r>
          <rPr>
            <b/>
            <sz val="9"/>
            <color indexed="81"/>
            <rFont val="Tahoma"/>
            <charset val="1"/>
          </rPr>
          <t>NIKFL:</t>
        </r>
        <r>
          <rPr>
            <sz val="9"/>
            <color indexed="81"/>
            <rFont val="Tahoma"/>
            <charset val="1"/>
          </rPr>
          <t xml:space="preserve">
Grundlæggende - tilgængelighedsteknologi. 
- Skrivesttøtte
- AppWriter
</t>
        </r>
      </text>
    </comment>
    <comment ref="E12" authorId="0" shapeId="0" xr:uid="{00000000-0006-0000-0300-000002000000}">
      <text>
        <r>
          <rPr>
            <b/>
            <sz val="9"/>
            <color indexed="81"/>
            <rFont val="Tahoma"/>
            <charset val="1"/>
          </rPr>
          <t>NIKFL:</t>
        </r>
        <r>
          <rPr>
            <sz val="9"/>
            <color indexed="81"/>
            <rFont val="Tahoma"/>
            <charset val="1"/>
          </rPr>
          <t xml:space="preserve">
CSV: 
- Algoritmer til at supplere borgere, eksempelvis læremidler. 
- Adaptiv læremidler i skolerne
- Teachable machines
Hold øje til hele B&amp;U-området til NTG</t>
        </r>
      </text>
    </comment>
    <comment ref="E13" authorId="0" shapeId="0" xr:uid="{00000000-0006-0000-0300-000003000000}">
      <text>
        <r>
          <rPr>
            <b/>
            <sz val="9"/>
            <color indexed="81"/>
            <rFont val="Tahoma"/>
            <charset val="1"/>
          </rPr>
          <t>NIKFL:</t>
        </r>
        <r>
          <rPr>
            <sz val="9"/>
            <color indexed="81"/>
            <rFont val="Tahoma"/>
            <charset val="1"/>
          </rPr>
          <t xml:space="preserve">
Microbits 
Hjælpemidler hos CSV -&gt; Smart Home
</t>
        </r>
      </text>
    </comment>
    <comment ref="E15" authorId="0" shapeId="0" xr:uid="{00000000-0006-0000-0300-000004000000}">
      <text>
        <r>
          <rPr>
            <b/>
            <sz val="9"/>
            <color indexed="81"/>
            <rFont val="Tahoma"/>
            <charset val="1"/>
          </rPr>
          <t>NIKFL:</t>
        </r>
        <r>
          <rPr>
            <sz val="9"/>
            <color indexed="81"/>
            <rFont val="Tahoma"/>
            <charset val="1"/>
          </rPr>
          <t xml:space="preserve">
Oprette sager i SBSYS for daginstitution og skoler</t>
        </r>
      </text>
    </comment>
    <comment ref="E16" authorId="0" shapeId="0" xr:uid="{00000000-0006-0000-0300-000005000000}">
      <text>
        <r>
          <rPr>
            <b/>
            <sz val="9"/>
            <color indexed="81"/>
            <rFont val="Tahoma"/>
            <charset val="1"/>
          </rPr>
          <t>NIKFL:</t>
        </r>
        <r>
          <rPr>
            <sz val="9"/>
            <color indexed="81"/>
            <rFont val="Tahoma"/>
            <charset val="1"/>
          </rPr>
          <t xml:space="preserve">
Google Workspace for Education 
Aula</t>
        </r>
      </text>
    </comment>
    <comment ref="E23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NIKFL:</t>
        </r>
        <r>
          <rPr>
            <sz val="9"/>
            <color indexed="81"/>
            <rFont val="Tahoma"/>
            <family val="2"/>
          </rPr>
          <t xml:space="preserve">
Google oversæt til oversættelse på CSV
</t>
        </r>
      </text>
    </comment>
    <comment ref="E26" authorId="0" shapeId="0" xr:uid="{00000000-0006-0000-0300-000007000000}">
      <text>
        <r>
          <rPr>
            <sz val="11"/>
            <color theme="1"/>
            <rFont val="Calibri"/>
            <family val="2"/>
            <scheme val="minor"/>
          </rPr>
          <t xml:space="preserve">NIKFL:
VR-miljø til senerhvervet hjerneskade på CSV
Co-spaces (SkoleTube)
360-grader ift. skoleværing med Captivate (Adobe)
</t>
        </r>
      </text>
    </comment>
    <comment ref="E28" authorId="0" shapeId="0" xr:uid="{00000000-0006-0000-0300-000008000000}">
      <text>
        <r>
          <rPr>
            <sz val="11"/>
            <color theme="1"/>
            <rFont val="Calibri"/>
            <family val="2"/>
            <scheme val="minor"/>
          </rPr>
          <t>NIKFL:
Mr.Beam i skolelokalet
Robot som læringsmiddel</t>
        </r>
      </text>
    </comment>
    <comment ref="E30" authorId="1" shapeId="0" xr:uid="{00000000-0006-0000-0300-000009000000}">
      <text>
        <r>
          <rPr>
            <b/>
            <sz val="9"/>
            <color indexed="81"/>
            <rFont val="Tahoma"/>
            <charset val="1"/>
          </rPr>
          <t>andyr:</t>
        </r>
        <r>
          <rPr>
            <sz val="9"/>
            <color indexed="81"/>
            <rFont val="Tahoma"/>
            <charset val="1"/>
          </rPr>
          <t xml:space="preserve">
Skoler - som en del af maker spaces
</t>
        </r>
      </text>
    </comment>
    <comment ref="E32" authorId="1" shapeId="0" xr:uid="{00000000-0006-0000-0300-00000A000000}">
      <text>
        <r>
          <rPr>
            <b/>
            <sz val="9"/>
            <color indexed="81"/>
            <rFont val="Tahoma"/>
            <charset val="1"/>
          </rPr>
          <t>andyr:</t>
        </r>
        <r>
          <rPr>
            <sz val="9"/>
            <color indexed="81"/>
            <rFont val="Tahoma"/>
            <charset val="1"/>
          </rPr>
          <t xml:space="preserve">
Komme/gå skærme - SFO/daginstitutioner
</t>
        </r>
      </text>
    </comment>
    <comment ref="E33" authorId="1" shapeId="0" xr:uid="{00000000-0006-0000-0300-00000B000000}">
      <text>
        <r>
          <rPr>
            <b/>
            <sz val="9"/>
            <color indexed="81"/>
            <rFont val="Tahoma"/>
            <charset val="1"/>
          </rPr>
          <t>andyr:</t>
        </r>
        <r>
          <rPr>
            <sz val="9"/>
            <color indexed="81"/>
            <rFont val="Tahoma"/>
            <charset val="1"/>
          </rPr>
          <t xml:space="preserve">
Aula på skoleområdet, 
FB på skoleområdet, Insta på daginstitutionsområdet</t>
        </r>
      </text>
    </comment>
    <comment ref="E34" authorId="1" shapeId="0" xr:uid="{00000000-0006-0000-0300-00000C000000}">
      <text>
        <r>
          <rPr>
            <b/>
            <sz val="9"/>
            <color indexed="81"/>
            <rFont val="Tahoma"/>
            <charset val="1"/>
          </rPr>
          <t>andyr:</t>
        </r>
        <r>
          <rPr>
            <sz val="9"/>
            <color indexed="81"/>
            <rFont val="Tahoma"/>
            <charset val="1"/>
          </rPr>
          <t xml:space="preserve">
Undervisningsløsninger</t>
        </r>
      </text>
    </comment>
    <comment ref="E35" authorId="1" shapeId="0" xr:uid="{00000000-0006-0000-0300-00000D000000}">
      <text>
        <r>
          <rPr>
            <b/>
            <sz val="9"/>
            <color indexed="81"/>
            <rFont val="Tahoma"/>
            <charset val="1"/>
          </rPr>
          <t>andyr:</t>
        </r>
        <r>
          <rPr>
            <sz val="9"/>
            <color indexed="81"/>
            <rFont val="Tahoma"/>
            <charset val="1"/>
          </rPr>
          <t xml:space="preserve">
Teams, google meet,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tc={E4B8B0CF-AEF5-48A4-801F-46AAAF54FE12}</author>
    <author>tc={8A8B0F49-3DEE-47D3-A2D3-12B192EAEF1F}</author>
    <author>tc={7FB40C02-F60E-4F2B-ABD2-E5CC9A3494B6}</author>
    <author>tc={203A2095-90D0-4BAE-8D77-A471987511A6}</author>
    <author>tc={98E9E5F1-491D-499F-98EC-C387AA8A5999}</author>
    <author>tc={0FC3E44B-2CE5-427E-BA61-B3BE0BFEB002}</author>
    <author>tc={F77E600F-BADE-408D-A8D5-9D2C4A323436}</author>
    <author>tc={FEF0B8A9-2B61-469A-9914-43951E17903B}</author>
    <author>tc={E6C7E3B4-9FAE-4AF1-B2FB-409D8795633F}</author>
    <author>tc={0D7FDC66-1C4F-4A59-A24C-1CBE7A380B3C}</author>
    <author>tc={45FF9639-BB0A-4321-B86B-7EBDC2657A67}</author>
    <author>tc={52BDD119-6E2D-46AD-8563-DF66CFB64EF3}</author>
    <author>tc={A6D79E0B-75F5-43FA-8EC2-DA6670825B6F}</author>
    <author>tc={36D0587C-04F2-4DB6-B9E2-05ADA58F86C0}</author>
  </authors>
  <commentList>
    <comment ref="E6" authorId="0" shapeId="0" xr:uid="{E4B8B0CF-AEF5-48A4-801F-46AAAF54FE12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Matterport</t>
      </text>
    </comment>
    <comment ref="E10" authorId="1" shapeId="0" xr:uid="{00000000-0006-0000-0400-000001000000}">
      <text>
        <t xml:space="preserve">[Trådet kommentar]
Din version af Excel lader dig læse denne trådede kommentar. Eventuelle ændringer vil dog blive fjernet, hvis filen åbnes i en nyere version af Excel. Få mere at vide: https://go.microsoft.com/fwlink/?linkid=870924
Kommentar:
    AppWriter - måske ansøgning til VT-pulje. 
Besvar:
    App-writer godkendt. Mangler DPA, men herefter en test på plejecentrene. Kan måske løftes til Afprøv 3 - </t>
      </text>
    </comment>
    <comment ref="E12" authorId="2" shapeId="0" xr:uid="{00000000-0006-0000-0400-0000020000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Kørsel i Nexus
Besvar:
    Afklar med Anne Jakobsen (IT-velfærd)
Besvar:
    Birgit: Vi går i gang med flådestyring som kan optimere kørsel i løbet af året - forbedrende fase</t>
      </text>
    </comment>
    <comment ref="E13" authorId="3" shapeId="0" xr:uid="{00000000-0006-0000-0400-000003000000}">
      <text>
        <t xml:space="preserve">[Trådet kommentar]
Din version af Excel lader dig læse denne trådede kommentar. Eventuelle ændringer vil dog blive fjernet, hvis filen åbnes i en nyere version af Excel. Få mere at vide: https://go.microsoft.com/fwlink/?linkid=870924
Kommentar:
    Sengesensor
Intelligent ble
Sensorlagen/Sensorpude
Bevægelsessensor
Skyen - Co2 måler 
</t>
      </text>
    </comment>
    <comment ref="E26" authorId="4" shapeId="0" xr:uid="{00000000-0006-0000-0400-000004000000}">
      <text>
        <t xml:space="preserve">[Trådet kommentar]
Din version af Excel lader dig læse denne trådede kommentar. Eventuelle ændringer vil dog blive fjernet, hvis filen åbnes i en nyere version af Excel. Få mere at vide: https://go.microsoft.com/fwlink/?linkid=870924
Kommentar:
    Angsteksponering
VR til Spisetræning
Besvar:
    Virtual konflikthåndtering </t>
      </text>
    </comment>
    <comment ref="E27" authorId="5" shapeId="0" xr:uid="{00000000-0006-0000-0400-0000050000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GPS-ure
Dørlåse
Intelligent ble
Overfaldsalarmer
Besvar:
    Nye skyy-host løsning</t>
      </text>
    </comment>
    <comment ref="E28" authorId="6" shapeId="0" xr:uid="{00000000-0006-0000-0400-0000060000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Softtilt</t>
      </text>
    </comment>
    <comment ref="E30" authorId="7" shapeId="0" xr:uid="{00000000-0006-0000-0400-000007000000}">
      <text>
        <t xml:space="preserve">[Trådet kommentar]
Din version af Excel lader dig læse denne trådede kommentar. Eventuelle ændringer vil dog blive fjernet, hvis filen åbnes i en nyere version af Excel. Få mere at vide: https://go.microsoft.com/fwlink/?linkid=870924
Kommentar:
    Makerspace på Postensvej </t>
      </text>
    </comment>
    <comment ref="E32" authorId="8" shapeId="0" xr:uid="{E6C7E3B4-9FAE-4AF1-B2FB-409D8795633F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Frontdesk i Myndighed
Skærmbesøg
Infoskærme på plejecentre
Besvar:
    VitaMind
Dialognet</t>
      </text>
    </comment>
    <comment ref="E33" authorId="9" shapeId="0" xr:uid="{0D7FDC66-1C4F-4A59-A24C-1CBE7A380B3C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AktivSammen</t>
      </text>
    </comment>
    <comment ref="E34" authorId="10" shapeId="0" xr:uid="{45FF9639-BB0A-4321-B86B-7EBDC2657A67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VitaComm
Nexus-app
Kaldeanlægsapp
Besvar:
    Dialognet</t>
      </text>
    </comment>
    <comment ref="E35" authorId="11" shapeId="0" xr:uid="{52BDD119-6E2D-46AD-8563-DF66CFB64EF3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VitaComm
Borgermøder på Teams</t>
      </text>
    </comment>
    <comment ref="E38" authorId="12" shapeId="0" xr:uid="{A6D79E0B-75F5-43FA-8EC2-DA6670825B6F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Gruppeterapi ift. Talk-A-Walk</t>
      </text>
    </comment>
    <comment ref="E42" authorId="13" shapeId="0" xr:uid="{36D0587C-04F2-4DB6-B9E2-05ADA58F86C0}">
      <text>
        <t xml:space="preserve">[Trådet kommentar]
Din version af Excel lader dig læse denne trådede kommentar. Eventuelle ændringer vil dog blive fjernet, hvis filen åbnes i en nyere version af Excel. Få mere at vide: https://go.microsoft.com/fwlink/?linkid=870924
Kommentar:
    Trævanding på T&amp;M
Busser på Velfærd
Projekt omkring Powerapps i D&amp;IT.
Besvar:
    XFlow - KomStab
Besvar:
    Delta - giver en 4. 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tc={C03B63E4-1B73-4253-98B1-B99F8802AD12}</author>
    <author>tc={DAF302E0-3649-4185-BCF6-EADCD7F4DA47}</author>
    <author>tc={969A7853-7F95-4AAD-9800-31B4D416D628}</author>
    <author>tc={3F639A4D-0E8A-4081-AE74-13855D6997BA}</author>
    <author>tc={A1752F42-D0BD-474A-8AA4-DCFC8266B7C0}</author>
    <author>tc={3A4A0E48-1B51-4D7F-89B0-E837FD718930}</author>
    <author>tc={03A81971-DD23-40CB-AABD-9A69DFC8FFA1}</author>
    <author>tc={DCBF71CF-696F-4C04-A617-36B54B576646}</author>
    <author>tc={46C15262-158D-4E4C-B539-FF4E8AD2C7BD}</author>
    <author>tc={1F4CCDED-40BA-43C0-AB72-FBAA577D7559}</author>
    <author>tc={CEE302D5-14E2-4D68-BDBC-2AF75D1F28E6}</author>
    <author>tc={79ED5472-3769-4540-8C39-A785E46F2423}</author>
    <author>tc={330B3A01-B636-4E58-AC1E-66B631A3345F}</author>
    <author>tc={69F4EEFA-F24B-47B4-889A-9DB9AB78A242}</author>
    <author>tc={DCDE17B6-7F58-4FD1-8382-A5ED662972A6}</author>
  </authors>
  <commentList>
    <comment ref="E6" authorId="0" shapeId="0" xr:uid="{00000000-0006-0000-0500-000001000000}">
      <text>
        <t xml:space="preserve">[Trådet kommentar]
Din version af Excel lader dig læse denne trådede kommentar. Eventuelle ændringer vil dog blive fjernet, hvis filen åbnes i en nyere version af Excel. Få mere at vide: https://go.microsoft.com/fwlink/?linkid=870924
Kommentar:
    Digital Avatar </t>
      </text>
    </comment>
    <comment ref="E7" authorId="1" shapeId="0" xr:uid="{00000000-0006-0000-0500-0000020000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Fødevareprojekt - City 2030 - Ditte Veise</t>
      </text>
    </comment>
    <comment ref="E10" authorId="2" shapeId="0" xr:uid="{00000000-0006-0000-0500-000003000000}">
      <text>
        <t xml:space="preserve">[Trådet kommentar]
Din version af Excel lader dig læse denne trådede kommentar. Eventuelle ændringer vil dog blive fjernet, hvis filen åbnes i en nyere version af Excel. Få mere at vide: https://go.microsoft.com/fwlink/?linkid=870924
Kommentar:
    - Digital Avatar </t>
      </text>
    </comment>
    <comment ref="E12" authorId="3" shapeId="0" xr:uid="{00000000-0006-0000-0500-0000040000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- Digital Avatar</t>
      </text>
    </comment>
    <comment ref="E13" authorId="4" shapeId="0" xr:uid="{00000000-0006-0000-0500-0000050000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Digital Avatar</t>
      </text>
    </comment>
    <comment ref="E23" authorId="5" shapeId="0" xr:uid="{00000000-0006-0000-0500-0000060000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Perspektiver på turisme-område. 
Måske ift. destinationsamarbejdet</t>
      </text>
    </comment>
    <comment ref="E24" authorId="6" shapeId="0" xr:uid="{00000000-0006-0000-0500-0000070000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Digital Avatar</t>
      </text>
    </comment>
    <comment ref="E25" authorId="7" shapeId="0" xr:uid="{00000000-0006-0000-0500-0000080000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Avatar</t>
      </text>
    </comment>
    <comment ref="E26" authorId="8" shapeId="0" xr:uid="{00000000-0006-0000-0500-0000090000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Potientale på turismeområdet</t>
      </text>
    </comment>
    <comment ref="E27" authorId="9" shapeId="0" xr:uid="{00000000-0006-0000-0500-00000A0000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Projektansøgning til bygningsmateriale ift. tracking</t>
      </text>
    </comment>
    <comment ref="E30" authorId="10" shapeId="0" xr:uid="{00000000-0006-0000-0500-00000B0000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Fablab og Peter</t>
      </text>
    </comment>
    <comment ref="E32" authorId="11" shapeId="0" xr:uid="{00000000-0006-0000-0500-00000C000000}">
      <text>
        <t xml:space="preserve">[Trådet kommentar]
Din version af Excel lader dig læse denne trådede kommentar. Eventuelle ændringer vil dog blive fjernet, hvis filen åbnes i en nyere version af Excel. Få mere at vide: https://go.microsoft.com/fwlink/?linkid=870924
Kommentar:
    Digital Avatar
Besvar:
    Blanketter og ansøgninger, mv. Kursusportalen. </t>
      </text>
    </comment>
    <comment ref="E33" authorId="12" shapeId="0" xr:uid="{00000000-0006-0000-0500-00000D0000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Facebook, mv. Linkedin, Instagram.
Besvar:
    Fødevareafdelingen - egen hjemmeside målrettet fødevarer (colanie institut</t>
      </text>
    </comment>
    <comment ref="E34" authorId="13" shapeId="0" xr:uid="{00000000-0006-0000-0500-00000E0000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Kørsel og fraværs-app, mv.
Turisme-app. 
Kommende digital avatar-app</t>
      </text>
    </comment>
    <comment ref="E35" authorId="14" shapeId="0" xr:uid="{00000000-0006-0000-0500-00000F000000}">
      <text>
        <t xml:space="preserve">[Trådet kommentar]
Din version af Excel lader dig læse denne trådede kommentar. Eventuelle ændringer vil dog blive fjernet, hvis filen åbnes i en nyere version af Excel. Få mere at vide: https://go.microsoft.com/fwlink/?linkid=870924
Kommentar:
    Teams, mv. 
Events på Erhvervsområdet. 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tc={D9E88915-BD58-4DEE-B8F8-CCC57AF58D24}</author>
    <author>tc={FD2826A2-21FF-4569-BF41-9D3968771229}</author>
    <author>tc={9143FDB9-D28D-494D-B2AD-DB4F0ABA8176}</author>
    <author>tc={A0823ACD-8186-4507-AEA5-753ED3E3D2C4}</author>
    <author>tc={4817B4C7-DA23-497A-8565-F268AFAD4DC4}</author>
    <author>tc={4FBF2731-8897-46F3-94EB-79E8014779F1}</author>
    <author>tc={F4EDC5CC-31A1-4A2F-B3DF-22BFB766A2A6}</author>
    <author>tc={52CFD55F-F3AF-452E-9863-3F58AB7E9912}</author>
  </authors>
  <commentList>
    <comment ref="F7" authorId="0" shapeId="0" xr:uid="{00000000-0006-0000-0600-0000010000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 3D-model af byen, hvor det er muligt at tilføje nye bygninger og dermed visualisere, hvordan byrummet vil ændres såfremt en given bygning opføres.</t>
      </text>
    </comment>
    <comment ref="J12" authorId="1" shapeId="0" xr:uid="{00000000-0006-0000-0600-0000020000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Avatar til guideing af gæster til Tour De France og ift. turister generelt - VisitVejle</t>
      </text>
    </comment>
    <comment ref="E13" authorId="2" shapeId="0" xr:uid="{00000000-0006-0000-0600-0000030000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Deltagelse i signaturprojekt vedr. anvendelse af Proces Mining på arbejdsmarkedsområdet.</t>
      </text>
    </comment>
    <comment ref="E14" authorId="3" shapeId="0" xr:uid="{00000000-0006-0000-0600-0000040000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Signaturprojekt vedr. fordeling af Mails. Ny signaturprojekt-ansøgning vedr. journalisering af mails.</t>
      </text>
    </comment>
    <comment ref="J14" authorId="4" shapeId="0" xr:uid="{00000000-0006-0000-0600-0000050000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Avatar til guideing af gæster til Tour De France og ift. turister generelt - VisitVejle</t>
      </text>
    </comment>
    <comment ref="E26" authorId="5" shapeId="0" xr:uid="{00000000-0006-0000-0600-0000060000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Avatar til guideing af gæster til Tour De France og ift. turister generelt - VisitVejle</t>
      </text>
    </comment>
    <comment ref="J26" authorId="6" shapeId="0" xr:uid="{00000000-0006-0000-0600-0000070000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Avatar til guideing af gæster til Tour De France og ift. turister generelt - VisitVejle</t>
      </text>
    </comment>
    <comment ref="E27" authorId="7" shapeId="0" xr:uid="{00000000-0006-0000-0600-0000080000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Avatar til guideing af gæster til Tour De France og ift. turister generelt - VisitVejle</t>
      </text>
    </comment>
  </commentList>
</comments>
</file>

<file path=xl/sharedStrings.xml><?xml version="1.0" encoding="utf-8"?>
<sst xmlns="http://schemas.openxmlformats.org/spreadsheetml/2006/main" count="293" uniqueCount="49">
  <si>
    <t>Teknologirader indplaceringer - KL VS VK</t>
  </si>
  <si>
    <t>Afvent</t>
  </si>
  <si>
    <t>Hold øje</t>
  </si>
  <si>
    <t>Afprøv</t>
  </si>
  <si>
    <t>Klar</t>
  </si>
  <si>
    <t>Teknologier til dataindsamling- og behandling</t>
  </si>
  <si>
    <t>Ø&amp;A</t>
  </si>
  <si>
    <t>Digital twin</t>
  </si>
  <si>
    <t>Blockchain</t>
  </si>
  <si>
    <t>Edge computing</t>
  </si>
  <si>
    <t>Natural Language Processing</t>
  </si>
  <si>
    <t>Proces Mining</t>
  </si>
  <si>
    <t>AI / Machine Learning</t>
  </si>
  <si>
    <t>IoT og sensorer</t>
  </si>
  <si>
    <t>RPA</t>
  </si>
  <si>
    <t>Cloud</t>
  </si>
  <si>
    <t>Teknologier i produkter og services</t>
  </si>
  <si>
    <t>Autonome Køretøjer</t>
  </si>
  <si>
    <t>Augmented Reality</t>
  </si>
  <si>
    <t>Virtuelle Digitale Assistenter</t>
  </si>
  <si>
    <t>Chatbot</t>
  </si>
  <si>
    <t>VR</t>
  </si>
  <si>
    <t>Wearabels/Tracking</t>
  </si>
  <si>
    <t>Fysiske robotter</t>
  </si>
  <si>
    <t>Droner</t>
  </si>
  <si>
    <t>3D print</t>
  </si>
  <si>
    <t>Skærme og selvbetjening</t>
  </si>
  <si>
    <t>Sociale teknologier</t>
  </si>
  <si>
    <t>Apps</t>
  </si>
  <si>
    <t>Videoløsninger</t>
  </si>
  <si>
    <t>Metaverset</t>
  </si>
  <si>
    <t>Kvanteteknologi</t>
  </si>
  <si>
    <t>Mulige:</t>
  </si>
  <si>
    <t>Low code / zero code</t>
  </si>
  <si>
    <t>Computer Vision</t>
  </si>
  <si>
    <t>Kultur og Sundhed</t>
  </si>
  <si>
    <t>Teknik &amp; Miljø</t>
  </si>
  <si>
    <t>Børn &amp; Unge</t>
  </si>
  <si>
    <t>Velfærd</t>
  </si>
  <si>
    <t>KomStab</t>
  </si>
  <si>
    <t>Økonomi og Arbejdsmarked</t>
  </si>
  <si>
    <t>Teknik og Miljø</t>
  </si>
  <si>
    <t>Børn og Unge</t>
  </si>
  <si>
    <t>Kommunaldirektørens Stabe</t>
  </si>
  <si>
    <t>VK-gennemsnit</t>
  </si>
  <si>
    <t>VK rund</t>
  </si>
  <si>
    <t>VK maks</t>
  </si>
  <si>
    <t>Tek-KL-modenhed (1-4)</t>
  </si>
  <si>
    <t>Edge Computing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</si>
</sst>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2" fillId="0" borderId="0" xfId="0" applyFont="1"/>
    <xf numFmtId="0" fontId="0" fillId="6" borderId="1" xfId="0" applyFill="1" applyBorder="1"/>
    <xf numFmtId="0" fontId="0" fillId="7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7" borderId="3" xfId="0" applyFill="1" applyBorder="1"/>
    <xf numFmtId="0" fontId="0" fillId="6" borderId="4" xfId="0" applyFill="1" applyBorder="1"/>
    <xf numFmtId="0" fontId="3" fillId="0" borderId="0" xfId="0" applyFont="1"/>
    <xf numFmtId="0" fontId="4" fillId="0" borderId="0" xfId="0" applyFont="1"/>
    <xf numFmtId="0" fontId="0" fillId="2" borderId="5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5" fillId="8" borderId="5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5" fillId="8" borderId="2" xfId="0" applyFont="1" applyFill="1" applyBorder="1" applyAlignment="1">
      <alignment horizontal="center"/>
    </xf>
    <xf numFmtId="164" fontId="5" fillId="0" borderId="6" xfId="0" applyNumberFormat="1" applyFont="1" applyBorder="1" applyAlignment="1">
      <alignment horizontal="center"/>
    </xf>
    <xf numFmtId="0" fontId="6" fillId="0" borderId="0" xfId="0" applyFont="1"/>
    <xf numFmtId="164" fontId="0" fillId="0" borderId="6" xfId="0" applyNumberFormat="1" applyBorder="1"/>
    <xf numFmtId="164" fontId="0" fillId="0" borderId="0" xfId="0" applyNumberFormat="1"/>
    <xf numFmtId="0" fontId="5" fillId="8" borderId="6" xfId="0" applyFont="1" applyFill="1" applyBorder="1" applyAlignment="1">
      <alignment horizontal="center"/>
    </xf>
    <xf numFmtId="0" fontId="5" fillId="8" borderId="7" xfId="0" applyFont="1" applyFill="1" applyBorder="1" applyAlignment="1">
      <alignment horizontal="center"/>
    </xf>
    <xf numFmtId="0" fontId="0" fillId="6" borderId="8" xfId="0" applyFill="1" applyBorder="1"/>
    <xf numFmtId="0" fontId="0" fillId="6" borderId="9" xfId="0" applyFill="1" applyBorder="1"/>
    <xf numFmtId="0" fontId="0" fillId="7" borderId="9" xfId="0" applyFill="1" applyBorder="1"/>
    <xf numFmtId="0" fontId="5" fillId="8" borderId="10" xfId="0" applyFont="1" applyFill="1" applyBorder="1" applyAlignment="1">
      <alignment horizontal="center"/>
    </xf>
    <xf numFmtId="0" fontId="5" fillId="8" borderId="11" xfId="0" applyFont="1" applyFill="1" applyBorder="1" applyAlignment="1">
      <alignment horizontal="center"/>
    </xf>
    <xf numFmtId="0" fontId="0" fillId="7" borderId="12" xfId="0" applyFill="1" applyBorder="1"/>
    <xf numFmtId="0" fontId="1" fillId="6" borderId="4" xfId="0" applyFont="1" applyFill="1" applyBorder="1"/>
    <xf numFmtId="0" fontId="1" fillId="6" borderId="2" xfId="0" applyFont="1" applyFill="1" applyBorder="1"/>
    <xf numFmtId="0" fontId="1" fillId="6" borderId="8" xfId="0" applyFont="1" applyFill="1" applyBorder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Jens A. P. Jespersen  Digitalisering &amp; Data  Økonomi  Vejle Kommune" id="{C27F3769-FE11-48DF-8375-3925B3AE4DC5}" userId="S::jenaj@vejle.dk::d471852f-eddd-4e83-977c-0bf69c0388c6" providerId="AD"/>
  <person displayName="Nicklas Korsgaard Birch Fledelius  IT - Drift &amp; Support  Økonomi  Vejle Kommune" id="{7313575B-6F30-438C-819C-2C3E11C70DD6}" userId="S::nikfl@vejle.dk::ff1f159a-d013-4583-8fd2-bf80cba2af44" providerId="AD"/>
</personList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6" dT="2023-02-28T10:14:05.80" personId="{7313575B-6F30-438C-819C-2C3E11C70DD6}" id="{46319BF3-8945-4240-86C0-99EAA4300BA8}">
    <text xml:space="preserve">Matterport - Virtualisering af jobcentret / wayfinidng, mv. </text>
  </threadedComment>
  <threadedComment ref="E10" dT="2022-04-21T12:39:21.91" personId="{7313575B-6F30-438C-819C-2C3E11C70DD6}" id="{405B222F-2746-4C62-AEB7-EFF0132C74AA}">
    <text>Bertha - telefonrobot</text>
  </threadedComment>
  <threadedComment ref="E10" dT="2023-02-28T10:22:48.54" personId="{7313575B-6F30-438C-819C-2C3E11C70DD6}" id="{733DA86E-1020-4DDB-92D1-F3FE01A049F6}" parentId="{405B222F-2746-4C62-AEB7-EFF0132C74AA}">
    <text>Google oversæt til oversættelse af sprog/ift. tolkning.</text>
  </threadedComment>
  <threadedComment ref="E13" dT="2023-02-28T10:28:39.95" personId="{7313575B-6F30-438C-819C-2C3E11C70DD6}" id="{680B15EA-9D72-4B4C-B8E9-FECE9F66B75B}">
    <text xml:space="preserve">Strategiplanen - sensorer i Jobcenteret. Problemer med mødelokaler - oversigt over hvad sker der. </text>
  </threadedComment>
  <threadedComment ref="E15" dT="2023-02-28T10:29:18.20" personId="{7313575B-6F30-438C-819C-2C3E11C70DD6}" id="{CE122A90-4191-41BA-8495-ED70D3772EB9}">
    <text>En del - GDPR-breve m. oplysningspligt.</text>
  </threadedComment>
  <threadedComment ref="E28" dT="2023-02-28T10:40:11.56" personId="{7313575B-6F30-438C-819C-2C3E11C70DD6}" id="{4286721E-35FA-4109-B900-5B6EDD07F11C}">
    <text xml:space="preserve">IB - i IT. 
</text>
  </threadedComment>
  <threadedComment ref="E33" dT="2023-02-28T10:43:46.97" personId="{7313575B-6F30-438C-819C-2C3E11C70DD6}" id="{09449F6A-F983-4525-8080-D6C5AECCD8B4}">
    <text xml:space="preserve">Egen profil på LinkedIn. </text>
  </threadedComment>
  <threadedComment ref="E43" dT="2023-02-28T10:58:24.66" personId="{7313575B-6F30-438C-819C-2C3E11C70DD6}" id="{7425BF70-CA7E-4465-BF82-CC924EB2B446}">
    <text>Trævanding på T&amp;M
Busser på Velfærd
Projekt omkring Powerapps i D&amp;IT.</text>
  </threadedComment>
  <threadedComment ref="E43" dT="2023-02-28T10:59:15.79" personId="{7313575B-6F30-438C-819C-2C3E11C70DD6}" id="{EE4E55DE-D9FD-4E79-BF71-E7194A4EF42E}" parentId="{7425BF70-CA7E-4465-BF82-CC924EB2B446}">
    <text>XFlow - KomStab</text>
  </threadedComment>
  <threadedComment ref="E43" dT="2023-02-28T11:06:14.44" personId="{7313575B-6F30-438C-819C-2C3E11C70DD6}" id="{9C42DAA0-542F-4FAF-8B98-0BAFBFA87362}" parentId="{7425BF70-CA7E-4465-BF82-CC924EB2B446}">
    <text xml:space="preserve">Delta - giver en 4. 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8" dT="2023-03-07T12:19:27.21" personId="{7313575B-6F30-438C-819C-2C3E11C70DD6}" id="{2F2395AD-9AD8-4397-90BD-D5256FC812C4}">
    <text xml:space="preserve">Kameraprojektet - Machinelearing algortime. 
Tællere alm. i Bibliotektet. </text>
  </threadedComment>
  <threadedComment ref="E13" dT="2021-04-26T07:56:44.14" personId="{C27F3769-FE11-48DF-8375-3925B3AE4DC5}" id="{F26921A7-229C-4B3A-9D04-DF993A273AF3}">
    <text>Museumsprojekt - tracking af besøgende.</text>
  </threadedComment>
  <threadedComment ref="E13" dT="2023-03-07T12:19:40.01" personId="{7313575B-6F30-438C-819C-2C3E11C70DD6}" id="{4A3A97F9-A819-4B15-AE53-598C2CBDF2A9}" parentId="{F26921A7-229C-4B3A-9D04-DF993A273AF3}">
    <text>Haller ift. Halmonitors</text>
  </threadedComment>
  <threadedComment ref="E13" dT="2023-03-07T12:30:57.72" personId="{7313575B-6F30-438C-819C-2C3E11C70DD6}" id="{E847B9FC-3E13-4A48-9301-941C4B438D7E}" parentId="{F26921A7-229C-4B3A-9D04-DF993A273AF3}">
    <text xml:space="preserve">Arguadio på bibliotektet - adgang til administrationsmodul. Analyse værktøj af brug af toiletter. </text>
  </threadedComment>
  <threadedComment ref="E13" dT="2023-03-07T12:31:54.05" personId="{7313575B-6F30-438C-819C-2C3E11C70DD6}" id="{76BB6F08-F575-4ADF-B6AA-0A7946B5E63C}" parentId="{F26921A7-229C-4B3A-9D04-DF993A273AF3}">
    <text xml:space="preserve">Måske noget Musikteatret? </text>
  </threadedComment>
  <threadedComment ref="E23" dT="2021-04-26T07:49:05.65" personId="{C27F3769-FE11-48DF-8375-3925B3AE4DC5}" id="{E7CD3377-03E8-4E8E-9FE2-B84A99CF761F}">
    <text>Det udviddet biblioteksrum (projektledelse). Kunstmuseum - AR-app.</text>
  </threadedComment>
  <threadedComment ref="E23" dT="2023-03-07T12:39:14.77" personId="{7313575B-6F30-438C-819C-2C3E11C70DD6}" id="{526A926A-E325-4387-804A-E978DEC3355B}" parentId="{E7CD3377-03E8-4E8E-9FE2-B84A99CF761F}">
    <text xml:space="preserve">Bibliobitterne på bibliotekerne. </text>
  </threadedComment>
  <threadedComment ref="E23" dT="2023-03-07T12:42:39.97" personId="{7313575B-6F30-438C-819C-2C3E11C70DD6}" id="{41EAFF52-4963-4F93-ABF1-1960392363A0}" parentId="{E7CD3377-03E8-4E8E-9FE2-B84A99CF761F}">
    <text xml:space="preserve">Talt om på Museerne - AR har potentiale på området, men testes ikke af endnu. </text>
  </threadedComment>
  <threadedComment ref="E23" dT="2023-03-07T12:44:02.53" personId="{7313575B-6F30-438C-819C-2C3E11C70DD6}" id="{4C81AAC0-10F0-4C76-B7A7-AB38E16E1D5C}" parentId="{E7CD3377-03E8-4E8E-9FE2-B84A99CF761F}">
    <text xml:space="preserve">Maleri af Tour de France, hvor hvis der scannes, så cykles der henover. </text>
  </threadedComment>
  <threadedComment ref="E29" dT="2023-03-07T12:54:21.69" personId="{7313575B-6F30-438C-819C-2C3E11C70DD6}" id="{598CC29B-4306-4D9F-936E-CEA46E6AC031}">
    <text xml:space="preserve">Droner til luftfotoes til ærkelogi. </text>
  </threadedComment>
  <threadedComment ref="E34" dT="2021-04-26T07:55:10.80" personId="{C27F3769-FE11-48DF-8375-3925B3AE4DC5}" id="{B9092306-6BE0-4F7E-BF02-9F8C7C87E0B9}">
    <text>Superbrugsen-app-lignende. Scan og lån.</text>
  </threadedComment>
  <threadedComment ref="E34" dT="2023-03-07T13:00:09.15" personId="{7313575B-6F30-438C-819C-2C3E11C70DD6}" id="{88530FDE-F391-4E3B-BAFE-4E79C4056AA4}" parentId="{B9092306-6BE0-4F7E-BF02-9F8C7C87E0B9}">
    <text xml:space="preserve">Museerne har opsagt deres app. Alm. webbaseret løsning i stedet. 
Skyhost - intelligent booking (intelligent flådestyring)
Ærkeloerne bruger app til timeregistrering Smart Klik. </text>
  </threadedComment>
  <threadedComment ref="E34" dT="2023-03-07T13:00:46.56" personId="{7313575B-6F30-438C-819C-2C3E11C70DD6}" id="{94F9A7D5-B15D-41F6-B07D-C2D3222EC3E7}" parentId="{B9092306-6BE0-4F7E-BF02-9F8C7C87E0B9}">
    <text>Genoptræning - Sticks. Borgere kan bruge app derhjemme til træning</text>
  </threadedComment>
  <threadedComment ref="E41" dT="2023-02-28T10:58:24.66" personId="{7313575B-6F30-438C-819C-2C3E11C70DD6}" id="{0F96226B-D515-4D8E-90CB-0CA744945814}">
    <text>Trævanding på T&amp;M
Busser på Velfærd
Projekt omkring Powerapps i D&amp;IT.</text>
  </threadedComment>
  <threadedComment ref="E41" dT="2023-02-28T10:59:15.79" personId="{7313575B-6F30-438C-819C-2C3E11C70DD6}" id="{8A946431-3C02-45F9-945B-3F99CCA4065D}" parentId="{0F96226B-D515-4D8E-90CB-0CA744945814}">
    <text>XFlow - KomStab</text>
  </threadedComment>
  <threadedComment ref="E41" dT="2023-02-28T11:06:14.44" personId="{7313575B-6F30-438C-819C-2C3E11C70DD6}" id="{95D2A23F-E809-4F00-89DC-BE83DD6267EE}" parentId="{0F96226B-D515-4D8E-90CB-0CA744945814}">
    <text xml:space="preserve">Delta - giver en 4. </text>
  </threadedComment>
  <threadedComment ref="E42" dT="2023-03-07T13:10:55.25" personId="{7313575B-6F30-438C-819C-2C3E11C70DD6}" id="{B1B8B852-3C63-47FD-84B9-1214F49B30D6}">
    <text>Tællerprojekt på bibliotektet/Kunstmueet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7" dT="2022-04-21T06:50:39.68" personId="{7313575B-6F30-438C-819C-2C3E11C70DD6}" id="{50F5CD44-D9C6-46FB-A84A-3042EA0357F2}">
    <text>Helium tidligere talt om (anders/Nicklas(</text>
  </threadedComment>
  <threadedComment ref="E8" dT="2022-04-21T06:51:59.37" personId="{7313575B-6F30-438C-819C-2C3E11C70DD6}" id="{19779F97-48FC-4CAE-BAB2-51C0EF49BB50}">
    <text>- Kamera i gågaden (test)
- Parkeringsprojektet m. kamera</text>
  </threadedComment>
  <threadedComment ref="E10" dT="2022-04-21T06:53:49.47" personId="{7313575B-6F30-438C-819C-2C3E11C70DD6}" id="{CC5F7153-C7AA-4E27-8EBB-A2EE6C918765}">
    <text>Potenitale: Giv et praj - behandling af tekst i appen</text>
  </threadedComment>
  <threadedComment ref="E11" dT="2022-04-21T06:55:39.42" personId="{7313575B-6F30-438C-819C-2C3E11C70DD6}" id="{EBB03D3B-DACB-4946-9A74-03BC6DEF25AF}">
    <text>Potentiale evt. på byggesager</text>
  </threadedComment>
  <threadedComment ref="E12" dT="2022-04-21T07:00:31.78" personId="{7313575B-6F30-438C-819C-2C3E11C70DD6}" id="{0F4B0556-6003-4A61-8CB2-928354660479}">
    <text xml:space="preserve">- GIS-software: Extenstion til at træen en algoritme til at optælle evt. parkeringspladser via loftfotos. 
- Baltic LSC. Identificering og genkende af huller i vejen og kategorisering af hullerne. 
- Tællerprojekt m. kamera / Computervision ift. biler eller personer. </text>
  </threadedComment>
  <threadedComment ref="E13" dT="2022-04-21T07:03:44.92" personId="{7313575B-6F30-438C-819C-2C3E11C70DD6}" id="{E2825AC4-9C27-4B93-8724-69B425AF0D09}">
    <text xml:space="preserve">- Letparkering
- Fyldemælder  / Affaldssensorer
- Mountainbikerouter / stiruter 
- Tæller af biler og mennesker i gågaden / andre steder
- </text>
  </threadedComment>
  <threadedComment ref="E13" dT="2022-04-21T07:20:47.51" personId="{7313575B-6F30-438C-819C-2C3E11C70DD6}" id="{6F580AA2-1666-4C3B-AB5C-16D95121CBFA}" parentId="{E2825AC4-9C27-4B93-8724-69B425AF0D09}">
    <text>iLocater - tøming af brønde</text>
  </threadedComment>
  <threadedComment ref="E16" dT="2022-04-21T07:05:19.84" personId="{7313575B-6F30-438C-819C-2C3E11C70DD6}" id="{73FE34DE-AA98-4E42-BBB1-FF9B16D41D8B}">
    <text xml:space="preserve">Letparkering - Azure
O365, mv. </text>
  </threadedComment>
  <threadedComment ref="E23" dT="2022-04-21T07:10:43.48" personId="{7313575B-6F30-438C-819C-2C3E11C70DD6}" id="{67FCDD39-12AD-483F-A873-2C6627FE92BA}">
    <text xml:space="preserve">Unity - sæt et kamera ind og send billede til Windows-platform. Modul til AR.
Vejprojekter - CORA (løvens hule) 
Økolariet ift. klimaformidling </text>
  </threadedComment>
  <threadedComment ref="E24" dT="2022-04-21T07:13:11.62" personId="{7313575B-6F30-438C-819C-2C3E11C70DD6}" id="{74B005A7-2154-4066-AC52-8D359FA70CAB}">
    <text>Avatar / Digital assistent til RCV</text>
  </threadedComment>
  <threadedComment ref="E26" dT="2022-04-21T07:17:12.31" personId="{7313575B-6F30-438C-819C-2C3E11C70DD6}" id="{C6B73289-8803-4119-A7D0-985360EB6657}">
    <text xml:space="preserve">- RCV - Ekstra lag, eksporteret til en VR-model. 
</text>
  </threadedComment>
  <threadedComment ref="E27" dT="2022-04-21T07:20:01.51" personId="{7313575B-6F30-438C-819C-2C3E11C70DD6}" id="{C6805D10-44E3-40C1-B2A1-3440D0496FC8}">
    <text xml:space="preserve">- Tracking af biler / snerydning 
- Tællerprojekt -&gt; Vestlig/østlig retning af biler/gående
- Evt. tracking af cykelister og retning (Jette?)
- 
</text>
  </threadedComment>
  <threadedComment ref="E28" dT="2022-04-21T07:24:06.30" personId="{7313575B-6F30-438C-819C-2C3E11C70DD6}" id="{C01D879C-69A2-4FA6-B744-3191C47BD7D8}">
    <text xml:space="preserve">- Robotplæneklipper
- Stregerobot "Svend" / optegningsrobot (Michelle) </text>
  </threadedComment>
  <threadedComment ref="E29" dT="2022-04-21T07:25:12.57" personId="{7313575B-6F30-438C-819C-2C3E11C70DD6}" id="{945C0EA5-7ABE-4953-B86D-A33EA7119502}">
    <text xml:space="preserve">Videooptagningsdrone
Videoklip / klipper 3D ind i det
Digital opmåling (vandresoir)
</text>
  </threadedComment>
  <threadedComment ref="E32" dT="2022-04-21T07:27:33.86" personId="{7313575B-6F30-438C-819C-2C3E11C70DD6}" id="{8C499A9B-76AA-4DFE-BFED-149418FEAD40}">
    <text>Booking af biler</text>
  </threadedComment>
  <threadedComment ref="E33" dT="2022-04-21T07:29:14.17" personId="{7313575B-6F30-438C-819C-2C3E11C70DD6}" id="{6D806CD1-30E0-4A87-9E59-0402C0828C3B}">
    <text xml:space="preserve">CitizinLab, Facebook, LinkedIn, Instagram, </text>
  </threadedComment>
  <threadedComment ref="E34" dT="2022-04-21T07:30:27.70" personId="{7313575B-6F30-438C-819C-2C3E11C70DD6}" id="{92BBF2FF-3523-40A3-A62B-9850C94AB857}">
    <text>- Giv et praj
- GIS Collector / Explorer
- PowerApps (i opstart)
- iLocator har en app 
- Pick-up renovation Ressource &amp; Genbrug</text>
  </threadedComment>
  <threadedComment ref="E35" dT="2022-04-21T07:32:41.71" personId="{7313575B-6F30-438C-819C-2C3E11C70DD6}" id="{0FBD10B2-C158-4045-8091-A284FF115FFB}">
    <text xml:space="preserve">Mest internt - men også LIVE Events. </text>
  </threadedComment>
  <threadedComment ref="E35" dT="2022-04-21T07:34:28.59" personId="{7313575B-6F30-438C-819C-2C3E11C70DD6}" id="{EEF22C3E-A5EF-430F-8F83-B73093580553}" parentId="{0FBD10B2-C158-4045-8091-A284FF115FFB}">
    <text xml:space="preserve">Udvalgsmøder - hybrid 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E6" dT="2023-03-02T08:12:09.89" personId="{7313575B-6F30-438C-819C-2C3E11C70DD6}" id="{E4B8B0CF-AEF5-48A4-801F-46AAAF54FE12}">
    <text>Matterport</text>
  </threadedComment>
  <threadedComment ref="E10" dT="2022-04-21T11:37:52.59" personId="{C27F3769-FE11-48DF-8375-3925B3AE4DC5}" id="{8A8B0F49-3DEE-47D3-A2D3-12B192EAEF1F}">
    <text xml:space="preserve">AppWriter - måske ansøgning til VT-pulje. </text>
  </threadedComment>
  <threadedComment ref="E10" dT="2023-03-02T08:19:19.11" personId="{7313575B-6F30-438C-819C-2C3E11C70DD6}" id="{753BDB6C-2832-4F3A-AD93-31970558F22A}" parentId="{8A8B0F49-3DEE-47D3-A2D3-12B192EAEF1F}">
    <text xml:space="preserve">App-writer godkendt. Mangler DPA, men herefter en test på plejecentrene. Kan måske løftes til Afprøv 3 - </text>
  </threadedComment>
  <threadedComment ref="E12" dT="2022-04-21T11:44:49.82" personId="{C27F3769-FE11-48DF-8375-3925B3AE4DC5}" id="{7FB40C02-F60E-4F2B-ABD2-E5CC9A3494B6}">
    <text>Kørsel i Nexus</text>
  </threadedComment>
  <threadedComment ref="E12" dT="2023-03-02T08:25:22.85" personId="{7313575B-6F30-438C-819C-2C3E11C70DD6}" id="{66FE2995-E379-4EBC-8D06-4D5DEEDC71A6}" parentId="{7FB40C02-F60E-4F2B-ABD2-E5CC9A3494B6}">
    <text>Afklar med Anne Jakobsen (IT-velfærd)</text>
  </threadedComment>
  <threadedComment ref="E12" dT="2023-03-02T08:26:51.37" personId="{7313575B-6F30-438C-819C-2C3E11C70DD6}" id="{F857B905-0674-4C6E-9025-0C1EC0CBEC48}" parentId="{7FB40C02-F60E-4F2B-ABD2-E5CC9A3494B6}">
    <text>Birgit: Vi går i gang med flådestyring som kan optimere kørsel i løbet af året - forbedrende fase</text>
  </threadedComment>
  <threadedComment ref="E13" dT="2022-04-21T11:47:57.13" personId="{C27F3769-FE11-48DF-8375-3925B3AE4DC5}" id="{203A2095-90D0-4BAE-8D77-A471987511A6}">
    <text xml:space="preserve">Sengesensor
Intelligent ble
Sensorlagen/Sensorpude
Bevægelsessensor
Skyen - Co2 måler 
</text>
  </threadedComment>
  <threadedComment ref="E26" dT="2022-04-21T12:01:29.78" personId="{C27F3769-FE11-48DF-8375-3925B3AE4DC5}" id="{98E9E5F1-491D-499F-98EC-C387AA8A5999}">
    <text>Angsteksponering
VR til Spisetræning</text>
  </threadedComment>
  <threadedComment ref="E26" dT="2022-04-21T12:01:42.65" personId="{C27F3769-FE11-48DF-8375-3925B3AE4DC5}" id="{E62B5ECD-B36A-424E-88B4-C7E4035146FC}" parentId="{98E9E5F1-491D-499F-98EC-C387AA8A5999}">
    <text xml:space="preserve">Virtual konflikthåndtering </text>
  </threadedComment>
  <threadedComment ref="E27" dT="2022-04-21T12:03:00.92" personId="{C27F3769-FE11-48DF-8375-3925B3AE4DC5}" id="{0FC3E44B-2CE5-427E-BA61-B3BE0BFEB002}">
    <text>GPS-ure
Dørlåse
Intelligent ble
Overfaldsalarmer</text>
  </threadedComment>
  <threadedComment ref="E27" dT="2023-03-02T08:47:15.09" personId="{7313575B-6F30-438C-819C-2C3E11C70DD6}" id="{8A133768-0CB7-4FD7-9189-BD682DB9EA23}" parentId="{0FC3E44B-2CE5-427E-BA61-B3BE0BFEB002}">
    <text>Nye skyy-host løsning</text>
  </threadedComment>
  <threadedComment ref="E28" dT="2022-04-21T12:08:28.35" personId="{C27F3769-FE11-48DF-8375-3925B3AE4DC5}" id="{F77E600F-BADE-408D-A8D5-9D2C4A323436}">
    <text>Softtilt</text>
  </threadedComment>
  <threadedComment ref="E30" dT="2022-04-21T12:10:55.74" personId="{C27F3769-FE11-48DF-8375-3925B3AE4DC5}" id="{FEF0B8A9-2B61-469A-9914-43951E17903B}">
    <text xml:space="preserve">Makerspace på Postensvej </text>
  </threadedComment>
  <threadedComment ref="E32" dT="2023-03-02T08:50:56.92" personId="{7313575B-6F30-438C-819C-2C3E11C70DD6}" id="{E6C7E3B4-9FAE-4AF1-B2FB-409D8795633F}">
    <text>Frontdesk i Myndighed
Skærmbesøg
Infoskærme på plejecentre</text>
  </threadedComment>
  <threadedComment ref="E32" dT="2023-03-02T08:54:08.34" personId="{7313575B-6F30-438C-819C-2C3E11C70DD6}" id="{5022B43B-6CC1-48F0-863E-9EBC6F16A54B}" parentId="{E6C7E3B4-9FAE-4AF1-B2FB-409D8795633F}">
    <text>VitaMind
Dialognet</text>
  </threadedComment>
  <threadedComment ref="E33" dT="2023-03-02T08:52:07.48" personId="{7313575B-6F30-438C-819C-2C3E11C70DD6}" id="{0D7FDC66-1C4F-4A59-A24C-1CBE7A380B3C}">
    <text>AktivSammen</text>
  </threadedComment>
  <threadedComment ref="E34" dT="2023-03-02T08:52:55.04" personId="{7313575B-6F30-438C-819C-2C3E11C70DD6}" id="{45FF9639-BB0A-4321-B86B-7EBDC2657A67}">
    <text>VitaComm
Nexus-app
Kaldeanlægsapp</text>
  </threadedComment>
  <threadedComment ref="E34" dT="2023-03-02T08:54:16.04" personId="{7313575B-6F30-438C-819C-2C3E11C70DD6}" id="{163941A2-E159-42B6-9BE3-AB2A9258E992}" parentId="{45FF9639-BB0A-4321-B86B-7EBDC2657A67}">
    <text>Dialognet</text>
  </threadedComment>
  <threadedComment ref="E35" dT="2023-03-02T08:53:53.73" personId="{7313575B-6F30-438C-819C-2C3E11C70DD6}" id="{52BDD119-6E2D-46AD-8563-DF66CFB64EF3}">
    <text>VitaComm
Borgermøder på Teams</text>
  </threadedComment>
  <threadedComment ref="E38" dT="2023-03-02T08:56:13.81" personId="{7313575B-6F30-438C-819C-2C3E11C70DD6}" id="{A6D79E0B-75F5-43FA-8EC2-DA6670825B6F}">
    <text>Gruppeterapi ift. Talk-A-Walk</text>
  </threadedComment>
  <threadedComment ref="E42" dT="2023-02-28T10:58:24.66" personId="{7313575B-6F30-438C-819C-2C3E11C70DD6}" id="{36D0587C-04F2-4DB6-B9E2-05ADA58F86C0}">
    <text>Trævanding på T&amp;M
Busser på Velfærd
Projekt omkring Powerapps i D&amp;IT.</text>
  </threadedComment>
  <threadedComment ref="E42" dT="2023-02-28T10:59:15.79" personId="{7313575B-6F30-438C-819C-2C3E11C70DD6}" id="{9DA5B4EC-BE6F-4E69-A42C-8FFFF8087C7C}" parentId="{36D0587C-04F2-4DB6-B9E2-05ADA58F86C0}">
    <text>XFlow - KomStab</text>
  </threadedComment>
  <threadedComment ref="E42" dT="2023-02-28T11:06:14.44" personId="{7313575B-6F30-438C-819C-2C3E11C70DD6}" id="{9122B6A4-0B3B-487C-9FAB-82B98023832A}" parentId="{36D0587C-04F2-4DB6-B9E2-05ADA58F86C0}">
    <text xml:space="preserve">Delta - giver en 4. 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E6" dT="2022-04-20T10:33:55.55" personId="{7313575B-6F30-438C-819C-2C3E11C70DD6}" id="{C03B63E4-1B73-4253-98B1-B99F8802AD12}">
    <text xml:space="preserve">Digital Avatar </text>
  </threadedComment>
  <threadedComment ref="E7" dT="2022-04-20T10:41:22.57" personId="{7313575B-6F30-438C-819C-2C3E11C70DD6}" id="{DAF302E0-3649-4185-BCF6-EADCD7F4DA47}">
    <text>Fødevareprojekt - City 2030 - Ditte Veise</text>
  </threadedComment>
  <threadedComment ref="E10" dT="2022-04-20T10:47:12.62" personId="{7313575B-6F30-438C-819C-2C3E11C70DD6}" id="{969A7853-7F95-4AAD-9800-31B4D416D628}">
    <text xml:space="preserve">- Digital Avatar </text>
  </threadedComment>
  <threadedComment ref="E12" dT="2022-04-20T10:51:53.57" personId="{7313575B-6F30-438C-819C-2C3E11C70DD6}" id="{3F639A4D-0E8A-4081-AE74-13855D6997BA}">
    <text>- Digital Avatar</text>
  </threadedComment>
  <threadedComment ref="E13" dT="2022-04-20T10:55:37.71" personId="{7313575B-6F30-438C-819C-2C3E11C70DD6}" id="{A1752F42-D0BD-474A-8AA4-DCFC8266B7C0}">
    <text>Digital Avatar</text>
  </threadedComment>
  <threadedComment ref="E23" dT="2022-04-20T11:08:32.60" personId="{7313575B-6F30-438C-819C-2C3E11C70DD6}" id="{3A4A0E48-1B51-4D7F-89B0-E837FD718930}">
    <text>Perspektiver på turisme-område. 
Måske ift. destinationsamarbejdet</text>
  </threadedComment>
  <threadedComment ref="E24" dT="2022-04-20T11:09:20.96" personId="{7313575B-6F30-438C-819C-2C3E11C70DD6}" id="{03A81971-DD23-40CB-AABD-9A69DFC8FFA1}">
    <text>Digital Avatar</text>
  </threadedComment>
  <threadedComment ref="E25" dT="2022-04-20T11:09:32.60" personId="{7313575B-6F30-438C-819C-2C3E11C70DD6}" id="{DCBF71CF-696F-4C04-A617-36B54B576646}">
    <text>Avatar</text>
  </threadedComment>
  <threadedComment ref="E26" dT="2022-04-20T11:11:57.12" personId="{7313575B-6F30-438C-819C-2C3E11C70DD6}" id="{46C15262-158D-4E4C-B539-FF4E8AD2C7BD}">
    <text>Potientale på turismeområdet</text>
  </threadedComment>
  <threadedComment ref="E27" dT="2022-04-20T11:12:44.36" personId="{7313575B-6F30-438C-819C-2C3E11C70DD6}" id="{1F4CCDED-40BA-43C0-AB72-FBAA577D7559}">
    <text>Projektansøgning til bygningsmateriale ift. tracking</text>
  </threadedComment>
  <threadedComment ref="E30" dT="2022-04-20T11:17:47.72" personId="{7313575B-6F30-438C-819C-2C3E11C70DD6}" id="{CEE302D5-14E2-4D68-BDBC-2AF75D1F28E6}">
    <text>Fablab og Peter</text>
  </threadedComment>
  <threadedComment ref="E32" dT="2022-04-20T11:18:17.60" personId="{7313575B-6F30-438C-819C-2C3E11C70DD6}" id="{79ED5472-3769-4540-8C39-A785E46F2423}">
    <text>Digital Avatar</text>
  </threadedComment>
  <threadedComment ref="E32" dT="2022-04-20T11:20:39.25" personId="{7313575B-6F30-438C-819C-2C3E11C70DD6}" id="{8AD260E3-B9D4-4410-B44C-ACC18CDBA206}" parentId="{79ED5472-3769-4540-8C39-A785E46F2423}">
    <text xml:space="preserve">Blanketter og ansøgninger, mv. Kursusportalen. </text>
  </threadedComment>
  <threadedComment ref="E33" dT="2022-04-20T11:21:41.98" personId="{7313575B-6F30-438C-819C-2C3E11C70DD6}" id="{330B3A01-B636-4E58-AC1E-66B631A3345F}">
    <text>Facebook, mv. Linkedin, Instagram.</text>
  </threadedComment>
  <threadedComment ref="E33" dT="2022-04-20T11:23:30.33" personId="{7313575B-6F30-438C-819C-2C3E11C70DD6}" id="{A58FA4C8-38BD-483F-8B2E-16A5814725B5}" parentId="{330B3A01-B636-4E58-AC1E-66B631A3345F}">
    <text>Fødevareafdelingen - egen hjemmeside målrettet fødevarer (colanie institut</text>
  </threadedComment>
  <threadedComment ref="E34" dT="2022-04-20T11:25:05.67" personId="{7313575B-6F30-438C-819C-2C3E11C70DD6}" id="{69F4EEFA-F24B-47B4-889A-9DB9AB78A242}">
    <text>Kørsel og fraværs-app, mv.
Turisme-app. 
Kommende digital avatar-app</text>
  </threadedComment>
  <threadedComment ref="E35" dT="2022-04-20T11:26:36.79" personId="{7313575B-6F30-438C-819C-2C3E11C70DD6}" id="{DCDE17B6-7F58-4FD1-8382-A5ED662972A6}">
    <text xml:space="preserve">Teams, mv. 
Events på Erhvervsområdet. 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F7" dT="2021-04-26T06:11:57.98" personId="{C27F3769-FE11-48DF-8375-3925B3AE4DC5}" id="{D9E88915-BD58-4DEE-B8F8-CCC57AF58D24}">
    <text> 3D-model af byen, hvor det er muligt at tilføje nye bygninger og dermed visualisere, hvordan byrummet vil ændres såfremt en given bygning opføres.</text>
  </threadedComment>
  <threadedComment ref="J12" dT="2021-04-26T06:18:49.27" personId="{C27F3769-FE11-48DF-8375-3925B3AE4DC5}" id="{FD2826A2-21FF-4569-BF41-9D3968771229}">
    <text>Avatar til guideing af gæster til Tour De France og ift. turister generelt - VisitVejle</text>
  </threadedComment>
  <threadedComment ref="E13" dT="2021-04-26T06:12:37.19" personId="{C27F3769-FE11-48DF-8375-3925B3AE4DC5}" id="{9143FDB9-D28D-494D-B2AD-DB4F0ABA8176}">
    <text>Deltagelse i signaturprojekt vedr. anvendelse af Proces Mining på arbejdsmarkedsområdet.</text>
  </threadedComment>
  <threadedComment ref="E14" dT="2021-04-26T06:15:26.60" personId="{C27F3769-FE11-48DF-8375-3925B3AE4DC5}" id="{A0823ACD-8186-4507-AEA5-753ED3E3D2C4}">
    <text>Signaturprojekt vedr. fordeling af Mails. Ny signaturprojekt-ansøgning vedr. journalisering af mails.</text>
  </threadedComment>
  <threadedComment ref="J14" dT="2021-04-26T06:16:45.14" personId="{C27F3769-FE11-48DF-8375-3925B3AE4DC5}" id="{4817B4C7-DA23-497A-8565-F268AFAD4DC4}">
    <text>Avatar til guideing af gæster til Tour De France og ift. turister generelt - VisitVejle</text>
  </threadedComment>
  <threadedComment ref="E26" dT="2021-04-26T06:20:25.64" personId="{C27F3769-FE11-48DF-8375-3925B3AE4DC5}" id="{4FBF2731-8897-46F3-94EB-79E8014779F1}">
    <text>Avatar til guideing af gæster til Tour De France og ift. turister generelt - VisitVejle</text>
  </threadedComment>
  <threadedComment ref="J26" dT="2021-04-26T06:18:09.53" personId="{C27F3769-FE11-48DF-8375-3925B3AE4DC5}" id="{F4EDC5CC-31A1-4A2F-B3DF-22BFB766A2A6}">
    <text>Avatar til guideing af gæster til Tour De France og ift. turister generelt - VisitVejle</text>
  </threadedComment>
  <threadedComment ref="E27" dT="2021-04-26T06:20:10.22" personId="{C27F3769-FE11-48DF-8375-3925B3AE4DC5}" id="{52CFD55F-F3AF-452E-9863-3F58AB7E9912}">
    <text>Avatar til guideing af gæster til Tour De France og ift. turister generelt - VisitVejle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5.xml"/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I44"/>
  <sheetViews>
    <sheetView topLeftCell="A9" zoomScaleNormal="100" workbookViewId="0">
      <selection activeCell="B38" sqref="B38:E44"/>
    </sheetView>
  </sheetViews>
  <sheetFormatPr defaultRowHeight="15" x14ac:dyDescent="0.25"/>
  <cols>
    <col min="2" max="2" width="27.140625" customWidth="1"/>
    <col min="4" max="4" width="3.42578125" customWidth="1"/>
    <col min="5" max="11" width="26.140625" customWidth="1"/>
  </cols>
  <sheetData>
    <row r="1" spans="1:9" ht="18.75" x14ac:dyDescent="0.3">
      <c r="A1" s="9" t="s">
        <v>0</v>
      </c>
      <c r="F1" s="2" t="s">
        <v>1</v>
      </c>
      <c r="G1" s="2" t="s">
        <v>2</v>
      </c>
      <c r="H1" s="2" t="s">
        <v>3</v>
      </c>
      <c r="I1" s="2" t="s">
        <v>4</v>
      </c>
    </row>
    <row r="2" spans="1:9" x14ac:dyDescent="0.25">
      <c r="F2" s="11">
        <v>1</v>
      </c>
      <c r="G2" s="12">
        <v>2</v>
      </c>
      <c r="H2" s="13">
        <v>3</v>
      </c>
      <c r="I2" s="14">
        <v>4</v>
      </c>
    </row>
    <row r="3" spans="1:9" ht="15.75" x14ac:dyDescent="0.25">
      <c r="A3" s="10" t="s">
        <v>5</v>
      </c>
      <c r="B3" s="2"/>
    </row>
    <row r="4" spans="1:9" x14ac:dyDescent="0.25">
      <c r="A4" s="1" t="s">
        <v>1</v>
      </c>
      <c r="E4" s="1" t="s">
        <v>6</v>
      </c>
    </row>
    <row r="5" spans="1:9" x14ac:dyDescent="0.25">
      <c r="A5" s="1" t="s">
        <v>2</v>
      </c>
    </row>
    <row r="6" spans="1:9" x14ac:dyDescent="0.25">
      <c r="B6" s="5" t="s">
        <v>7</v>
      </c>
      <c r="C6" s="6"/>
      <c r="D6" s="7"/>
      <c r="E6" s="15">
        <v>3</v>
      </c>
    </row>
    <row r="7" spans="1:9" x14ac:dyDescent="0.25">
      <c r="B7" s="8" t="s">
        <v>8</v>
      </c>
      <c r="C7" s="3"/>
      <c r="D7" s="4"/>
      <c r="E7" s="15">
        <v>1</v>
      </c>
    </row>
    <row r="8" spans="1:9" x14ac:dyDescent="0.25">
      <c r="B8" s="8" t="s">
        <v>9</v>
      </c>
      <c r="C8" s="3"/>
      <c r="D8" s="4"/>
      <c r="E8" s="15">
        <v>2</v>
      </c>
    </row>
    <row r="9" spans="1:9" x14ac:dyDescent="0.25">
      <c r="A9" s="1" t="s">
        <v>3</v>
      </c>
    </row>
    <row r="10" spans="1:9" x14ac:dyDescent="0.25">
      <c r="A10" s="1"/>
      <c r="B10" s="25" t="s">
        <v>10</v>
      </c>
      <c r="C10" s="26"/>
      <c r="D10" s="27"/>
      <c r="E10" s="28">
        <v>4</v>
      </c>
    </row>
    <row r="11" spans="1:9" x14ac:dyDescent="0.25">
      <c r="B11" s="8" t="s">
        <v>11</v>
      </c>
      <c r="C11" s="3"/>
      <c r="D11" s="4"/>
      <c r="E11" s="24">
        <v>3</v>
      </c>
      <c r="F11" s="20"/>
    </row>
    <row r="12" spans="1:9" x14ac:dyDescent="0.25">
      <c r="B12" s="8" t="s">
        <v>12</v>
      </c>
      <c r="C12" s="3"/>
      <c r="D12" s="4"/>
      <c r="E12" s="15">
        <v>4</v>
      </c>
      <c r="F12" s="20"/>
    </row>
    <row r="13" spans="1:9" x14ac:dyDescent="0.25">
      <c r="B13" s="8" t="s">
        <v>13</v>
      </c>
      <c r="C13" s="3"/>
      <c r="D13" s="4"/>
      <c r="E13" s="15">
        <v>3</v>
      </c>
    </row>
    <row r="14" spans="1:9" x14ac:dyDescent="0.25">
      <c r="A14" s="1" t="s">
        <v>4</v>
      </c>
      <c r="E14" s="16"/>
    </row>
    <row r="15" spans="1:9" x14ac:dyDescent="0.25">
      <c r="B15" s="25" t="s">
        <v>14</v>
      </c>
      <c r="C15" s="26"/>
      <c r="D15" s="27"/>
      <c r="E15" s="28">
        <v>4</v>
      </c>
    </row>
    <row r="16" spans="1:9" x14ac:dyDescent="0.25">
      <c r="B16" s="8" t="s">
        <v>15</v>
      </c>
      <c r="C16" s="3"/>
      <c r="D16" s="4"/>
      <c r="E16" s="15">
        <v>4</v>
      </c>
      <c r="F16" s="20"/>
    </row>
    <row r="17" spans="1:5" x14ac:dyDescent="0.25">
      <c r="E17" s="16"/>
    </row>
    <row r="18" spans="1:5" ht="15.75" x14ac:dyDescent="0.25">
      <c r="A18" s="10" t="s">
        <v>16</v>
      </c>
      <c r="B18" s="2"/>
      <c r="E18" s="16"/>
    </row>
    <row r="19" spans="1:5" x14ac:dyDescent="0.25">
      <c r="A19" s="1" t="s">
        <v>1</v>
      </c>
      <c r="E19" s="16"/>
    </row>
    <row r="20" spans="1:5" x14ac:dyDescent="0.25">
      <c r="A20" s="1" t="s">
        <v>2</v>
      </c>
      <c r="E20" s="16"/>
    </row>
    <row r="21" spans="1:5" x14ac:dyDescent="0.25">
      <c r="A21" s="1"/>
      <c r="B21" s="5" t="s">
        <v>17</v>
      </c>
      <c r="C21" s="6"/>
      <c r="D21" s="7"/>
      <c r="E21" s="15">
        <v>1</v>
      </c>
    </row>
    <row r="22" spans="1:5" x14ac:dyDescent="0.25">
      <c r="A22" s="1" t="s">
        <v>3</v>
      </c>
      <c r="E22" s="16"/>
    </row>
    <row r="23" spans="1:5" x14ac:dyDescent="0.25">
      <c r="A23" s="1"/>
      <c r="B23" s="5" t="s">
        <v>18</v>
      </c>
      <c r="C23" s="6"/>
      <c r="D23" s="7"/>
      <c r="E23" s="15">
        <v>2</v>
      </c>
    </row>
    <row r="24" spans="1:5" x14ac:dyDescent="0.25">
      <c r="B24" s="5" t="s">
        <v>19</v>
      </c>
      <c r="C24" s="6"/>
      <c r="D24" s="7"/>
      <c r="E24" s="15">
        <v>2</v>
      </c>
    </row>
    <row r="25" spans="1:5" x14ac:dyDescent="0.25">
      <c r="B25" s="8" t="s">
        <v>20</v>
      </c>
      <c r="C25" s="3"/>
      <c r="D25" s="4"/>
      <c r="E25" s="15">
        <v>4</v>
      </c>
    </row>
    <row r="26" spans="1:5" x14ac:dyDescent="0.25">
      <c r="B26" s="8" t="s">
        <v>21</v>
      </c>
      <c r="C26" s="3"/>
      <c r="D26" s="4"/>
      <c r="E26" s="15">
        <v>4</v>
      </c>
    </row>
    <row r="27" spans="1:5" x14ac:dyDescent="0.25">
      <c r="B27" s="8" t="s">
        <v>22</v>
      </c>
      <c r="C27" s="3"/>
      <c r="D27" s="4"/>
      <c r="E27" s="15">
        <v>2</v>
      </c>
    </row>
    <row r="28" spans="1:5" x14ac:dyDescent="0.25">
      <c r="B28" s="8" t="s">
        <v>23</v>
      </c>
      <c r="C28" s="3"/>
      <c r="D28" s="4"/>
      <c r="E28" s="15">
        <v>3</v>
      </c>
    </row>
    <row r="29" spans="1:5" x14ac:dyDescent="0.25">
      <c r="B29" s="8" t="s">
        <v>24</v>
      </c>
      <c r="C29" s="3"/>
      <c r="D29" s="4"/>
      <c r="E29" s="15">
        <v>1</v>
      </c>
    </row>
    <row r="30" spans="1:5" x14ac:dyDescent="0.25">
      <c r="B30" s="8" t="s">
        <v>25</v>
      </c>
      <c r="C30" s="3"/>
      <c r="D30" s="4"/>
      <c r="E30" s="15">
        <v>1</v>
      </c>
    </row>
    <row r="31" spans="1:5" x14ac:dyDescent="0.25">
      <c r="A31" s="1" t="s">
        <v>4</v>
      </c>
      <c r="E31" s="16"/>
    </row>
    <row r="32" spans="1:5" x14ac:dyDescent="0.25">
      <c r="B32" s="5" t="s">
        <v>26</v>
      </c>
      <c r="C32" s="6"/>
      <c r="D32" s="7"/>
      <c r="E32" s="15">
        <v>4</v>
      </c>
    </row>
    <row r="33" spans="2:5" x14ac:dyDescent="0.25">
      <c r="B33" s="8" t="s">
        <v>27</v>
      </c>
      <c r="C33" s="3"/>
      <c r="D33" s="4"/>
      <c r="E33" s="15">
        <v>4</v>
      </c>
    </row>
    <row r="34" spans="2:5" x14ac:dyDescent="0.25">
      <c r="B34" s="8" t="s">
        <v>28</v>
      </c>
      <c r="C34" s="3"/>
      <c r="D34" s="4"/>
      <c r="E34" s="15">
        <v>4</v>
      </c>
    </row>
    <row r="35" spans="2:5" x14ac:dyDescent="0.25">
      <c r="B35" s="8" t="s">
        <v>29</v>
      </c>
      <c r="C35" s="3"/>
      <c r="D35" s="4"/>
      <c r="E35" s="15">
        <v>4</v>
      </c>
    </row>
    <row r="38" spans="2:5" x14ac:dyDescent="0.25">
      <c r="B38" t="s">
        <v>30</v>
      </c>
      <c r="E38">
        <v>2</v>
      </c>
    </row>
    <row r="39" spans="2:5" x14ac:dyDescent="0.25">
      <c r="B39" t="s">
        <v>31</v>
      </c>
      <c r="E39">
        <v>1</v>
      </c>
    </row>
    <row r="42" spans="2:5" x14ac:dyDescent="0.25">
      <c r="B42" t="s">
        <v>32</v>
      </c>
    </row>
    <row r="43" spans="2:5" x14ac:dyDescent="0.25">
      <c r="B43" t="s">
        <v>33</v>
      </c>
      <c r="E43">
        <v>4</v>
      </c>
    </row>
    <row r="44" spans="2:5" x14ac:dyDescent="0.25">
      <c r="B44" t="s">
        <v>34</v>
      </c>
      <c r="E44">
        <v>1</v>
      </c>
    </row>
  </sheetData>
  <conditionalFormatting sqref="F2:I2">
    <cfRule type="colorScale" priority="2">
      <colorScale>
        <cfvo type="min"/>
        <cfvo type="percentile" val="50"/>
        <cfvo type="max"/>
        <color rgb="FFFF5050"/>
        <color theme="7" tint="0.79998168889431442"/>
        <color theme="9" tint="0.39997558519241921"/>
      </colorScale>
    </cfRule>
  </conditionalFormatting>
  <conditionalFormatting sqref="E6:E35">
    <cfRule type="colorScale" priority="1">
      <colorScale>
        <cfvo type="min"/>
        <cfvo type="percentile" val="50"/>
        <cfvo type="max"/>
        <color rgb="FFFF5050"/>
        <color theme="7" tint="0.59999389629810485"/>
        <color theme="9" tint="0.39997558519241921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:I42"/>
  <sheetViews>
    <sheetView workbookViewId="0">
      <selection activeCell="F43" sqref="F43"/>
    </sheetView>
  </sheetViews>
  <sheetFormatPr defaultRowHeight="15" x14ac:dyDescent="0.25"/>
  <cols>
    <col min="2" max="2" width="27.140625" customWidth="1"/>
    <col min="4" max="4" width="3.42578125" customWidth="1"/>
    <col min="5" max="9" width="26.140625" customWidth="1"/>
  </cols>
  <sheetData>
    <row r="1" spans="1:9" ht="18.75" x14ac:dyDescent="0.3">
      <c r="A1" s="9" t="s">
        <v>0</v>
      </c>
      <c r="F1" s="2" t="s">
        <v>1</v>
      </c>
      <c r="G1" s="2" t="s">
        <v>2</v>
      </c>
      <c r="H1" s="2" t="s">
        <v>3</v>
      </c>
      <c r="I1" s="2" t="s">
        <v>4</v>
      </c>
    </row>
    <row r="2" spans="1:9" x14ac:dyDescent="0.25">
      <c r="F2" s="11">
        <v>1</v>
      </c>
      <c r="G2" s="12">
        <v>2</v>
      </c>
      <c r="H2" s="13">
        <v>3</v>
      </c>
      <c r="I2" s="14">
        <v>4</v>
      </c>
    </row>
    <row r="3" spans="1:9" ht="15.75" x14ac:dyDescent="0.25">
      <c r="A3" s="10" t="s">
        <v>5</v>
      </c>
      <c r="B3" s="2"/>
    </row>
    <row r="4" spans="1:9" x14ac:dyDescent="0.25">
      <c r="A4" s="1" t="s">
        <v>1</v>
      </c>
      <c r="E4" s="1" t="s">
        <v>35</v>
      </c>
    </row>
    <row r="5" spans="1:9" x14ac:dyDescent="0.25">
      <c r="A5" s="1" t="s">
        <v>2</v>
      </c>
    </row>
    <row r="6" spans="1:9" x14ac:dyDescent="0.25">
      <c r="B6" s="5" t="s">
        <v>7</v>
      </c>
      <c r="C6" s="6"/>
      <c r="D6" s="7"/>
      <c r="E6" s="15">
        <v>3</v>
      </c>
    </row>
    <row r="7" spans="1:9" x14ac:dyDescent="0.25">
      <c r="B7" s="8" t="s">
        <v>8</v>
      </c>
      <c r="C7" s="3"/>
      <c r="D7" s="4"/>
      <c r="E7" s="15">
        <v>1</v>
      </c>
    </row>
    <row r="8" spans="1:9" x14ac:dyDescent="0.25">
      <c r="B8" s="8" t="s">
        <v>9</v>
      </c>
      <c r="C8" s="3"/>
      <c r="D8" s="4"/>
      <c r="E8" s="15">
        <v>4</v>
      </c>
    </row>
    <row r="9" spans="1:9" x14ac:dyDescent="0.25">
      <c r="A9" s="1" t="s">
        <v>3</v>
      </c>
    </row>
    <row r="10" spans="1:9" x14ac:dyDescent="0.25">
      <c r="A10" s="1"/>
      <c r="B10" s="25" t="s">
        <v>10</v>
      </c>
      <c r="C10" s="26"/>
      <c r="D10" s="27"/>
      <c r="E10" s="28">
        <v>3</v>
      </c>
    </row>
    <row r="11" spans="1:9" x14ac:dyDescent="0.25">
      <c r="B11" s="8" t="s">
        <v>11</v>
      </c>
      <c r="C11" s="3"/>
      <c r="D11" s="4"/>
      <c r="E11" s="24">
        <v>1</v>
      </c>
    </row>
    <row r="12" spans="1:9" x14ac:dyDescent="0.25">
      <c r="B12" s="8" t="s">
        <v>12</v>
      </c>
      <c r="C12" s="3"/>
      <c r="D12" s="4"/>
      <c r="E12" s="15">
        <v>4</v>
      </c>
    </row>
    <row r="13" spans="1:9" x14ac:dyDescent="0.25">
      <c r="B13" s="8" t="s">
        <v>13</v>
      </c>
      <c r="C13" s="3"/>
      <c r="D13" s="4"/>
      <c r="E13" s="15">
        <v>4</v>
      </c>
    </row>
    <row r="14" spans="1:9" x14ac:dyDescent="0.25">
      <c r="A14" s="1" t="s">
        <v>4</v>
      </c>
      <c r="E14" s="16"/>
    </row>
    <row r="15" spans="1:9" x14ac:dyDescent="0.25">
      <c r="B15" s="25" t="s">
        <v>14</v>
      </c>
      <c r="C15" s="26"/>
      <c r="D15" s="27"/>
      <c r="E15" s="28">
        <v>4</v>
      </c>
    </row>
    <row r="16" spans="1:9" x14ac:dyDescent="0.25">
      <c r="B16" s="8" t="s">
        <v>15</v>
      </c>
      <c r="C16" s="3"/>
      <c r="D16" s="4"/>
      <c r="E16" s="15">
        <v>4</v>
      </c>
    </row>
    <row r="17" spans="1:5" x14ac:dyDescent="0.25">
      <c r="E17" s="16"/>
    </row>
    <row r="18" spans="1:5" ht="15.75" x14ac:dyDescent="0.25">
      <c r="A18" s="10" t="s">
        <v>16</v>
      </c>
      <c r="B18" s="2"/>
      <c r="E18" s="16"/>
    </row>
    <row r="19" spans="1:5" x14ac:dyDescent="0.25">
      <c r="A19" s="1" t="s">
        <v>1</v>
      </c>
      <c r="E19" s="16"/>
    </row>
    <row r="20" spans="1:5" x14ac:dyDescent="0.25">
      <c r="A20" s="1" t="s">
        <v>2</v>
      </c>
      <c r="E20" s="16"/>
    </row>
    <row r="21" spans="1:5" x14ac:dyDescent="0.25">
      <c r="A21" s="1"/>
      <c r="B21" s="5" t="s">
        <v>17</v>
      </c>
      <c r="C21" s="6"/>
      <c r="D21" s="7"/>
      <c r="E21" s="15">
        <v>1</v>
      </c>
    </row>
    <row r="22" spans="1:5" x14ac:dyDescent="0.25">
      <c r="A22" s="1" t="s">
        <v>3</v>
      </c>
      <c r="E22" s="16"/>
    </row>
    <row r="23" spans="1:5" x14ac:dyDescent="0.25">
      <c r="A23" s="1"/>
      <c r="B23" s="5" t="s">
        <v>18</v>
      </c>
      <c r="C23" s="6"/>
      <c r="D23" s="7"/>
      <c r="E23" s="15">
        <v>4</v>
      </c>
    </row>
    <row r="24" spans="1:5" x14ac:dyDescent="0.25">
      <c r="B24" s="5" t="s">
        <v>19</v>
      </c>
      <c r="C24" s="6"/>
      <c r="D24" s="7"/>
      <c r="E24" s="15">
        <v>2</v>
      </c>
    </row>
    <row r="25" spans="1:5" x14ac:dyDescent="0.25">
      <c r="B25" s="8" t="s">
        <v>20</v>
      </c>
      <c r="C25" s="3"/>
      <c r="D25" s="4"/>
      <c r="E25" s="15">
        <v>2</v>
      </c>
    </row>
    <row r="26" spans="1:5" x14ac:dyDescent="0.25">
      <c r="B26" s="8" t="s">
        <v>21</v>
      </c>
      <c r="C26" s="3"/>
      <c r="D26" s="4"/>
      <c r="E26" s="15">
        <v>3</v>
      </c>
    </row>
    <row r="27" spans="1:5" x14ac:dyDescent="0.25">
      <c r="B27" s="8" t="s">
        <v>22</v>
      </c>
      <c r="C27" s="3"/>
      <c r="D27" s="4"/>
      <c r="E27" s="15">
        <v>4</v>
      </c>
    </row>
    <row r="28" spans="1:5" x14ac:dyDescent="0.25">
      <c r="B28" s="8" t="s">
        <v>23</v>
      </c>
      <c r="C28" s="3"/>
      <c r="D28" s="4"/>
      <c r="E28" s="15">
        <v>4</v>
      </c>
    </row>
    <row r="29" spans="1:5" x14ac:dyDescent="0.25">
      <c r="B29" s="8" t="s">
        <v>24</v>
      </c>
      <c r="C29" s="3"/>
      <c r="D29" s="4"/>
      <c r="E29" s="15">
        <v>3</v>
      </c>
    </row>
    <row r="30" spans="1:5" x14ac:dyDescent="0.25">
      <c r="B30" s="8" t="s">
        <v>25</v>
      </c>
      <c r="C30" s="3"/>
      <c r="D30" s="4"/>
      <c r="E30" s="15">
        <v>4</v>
      </c>
    </row>
    <row r="31" spans="1:5" x14ac:dyDescent="0.25">
      <c r="A31" s="1" t="s">
        <v>4</v>
      </c>
      <c r="E31" s="16"/>
    </row>
    <row r="32" spans="1:5" x14ac:dyDescent="0.25">
      <c r="B32" s="5" t="s">
        <v>26</v>
      </c>
      <c r="C32" s="6"/>
      <c r="D32" s="7"/>
      <c r="E32" s="15">
        <v>4</v>
      </c>
    </row>
    <row r="33" spans="2:5" x14ac:dyDescent="0.25">
      <c r="B33" s="8" t="s">
        <v>27</v>
      </c>
      <c r="C33" s="3"/>
      <c r="D33" s="4"/>
      <c r="E33" s="15">
        <v>4</v>
      </c>
    </row>
    <row r="34" spans="2:5" x14ac:dyDescent="0.25">
      <c r="B34" s="8" t="s">
        <v>28</v>
      </c>
      <c r="C34" s="3"/>
      <c r="D34" s="4"/>
      <c r="E34" s="15">
        <v>4</v>
      </c>
    </row>
    <row r="35" spans="2:5" x14ac:dyDescent="0.25">
      <c r="B35" s="8" t="s">
        <v>29</v>
      </c>
      <c r="C35" s="3"/>
      <c r="D35" s="4"/>
      <c r="E35" s="15">
        <v>4</v>
      </c>
    </row>
    <row r="38" spans="2:5" x14ac:dyDescent="0.25">
      <c r="B38" t="s">
        <v>30</v>
      </c>
      <c r="E38">
        <v>2</v>
      </c>
    </row>
    <row r="40" spans="2:5" x14ac:dyDescent="0.25">
      <c r="B40" t="s">
        <v>32</v>
      </c>
    </row>
    <row r="41" spans="2:5" x14ac:dyDescent="0.25">
      <c r="B41" t="s">
        <v>33</v>
      </c>
      <c r="E41">
        <v>2</v>
      </c>
    </row>
    <row r="42" spans="2:5" x14ac:dyDescent="0.25">
      <c r="B42" t="s">
        <v>34</v>
      </c>
      <c r="E42">
        <v>4</v>
      </c>
    </row>
  </sheetData>
  <conditionalFormatting sqref="F2:I2">
    <cfRule type="colorScale" priority="1">
      <colorScale>
        <cfvo type="min"/>
        <cfvo type="percentile" val="50"/>
        <cfvo type="max"/>
        <color rgb="FFFF5050"/>
        <color theme="7" tint="0.79998168889431442"/>
        <color theme="9" tint="0.39997558519241921"/>
      </colorScale>
    </cfRule>
  </conditionalFormatting>
  <conditionalFormatting sqref="E6:E35">
    <cfRule type="colorScale" priority="16">
      <colorScale>
        <cfvo type="min"/>
        <cfvo type="percentile" val="50"/>
        <cfvo type="max"/>
        <color rgb="FFFF5050"/>
        <color theme="7" tint="0.59999389629810485"/>
        <color theme="9" tint="0.39997558519241921"/>
      </colorScale>
    </cfRule>
  </conditionalFormatting>
  <pageMargins left="0.7" right="0.7" top="0.75" bottom="0.75" header="0.3" footer="0.3"/>
  <pageSetup paperSize="9" orientation="portrait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I35"/>
  <sheetViews>
    <sheetView workbookViewId="0">
      <selection activeCell="G16" sqref="G16"/>
    </sheetView>
  </sheetViews>
  <sheetFormatPr defaultRowHeight="15" x14ac:dyDescent="0.25"/>
  <cols>
    <col min="2" max="2" width="27.140625" customWidth="1"/>
    <col min="4" max="4" width="3.42578125" customWidth="1"/>
    <col min="5" max="11" width="26.140625" customWidth="1"/>
  </cols>
  <sheetData>
    <row r="1" spans="1:9" ht="18.75" x14ac:dyDescent="0.3">
      <c r="A1" s="9" t="s">
        <v>0</v>
      </c>
      <c r="F1" s="2" t="s">
        <v>1</v>
      </c>
      <c r="G1" s="2" t="s">
        <v>2</v>
      </c>
      <c r="H1" s="2" t="s">
        <v>3</v>
      </c>
      <c r="I1" s="2" t="s">
        <v>4</v>
      </c>
    </row>
    <row r="2" spans="1:9" x14ac:dyDescent="0.25">
      <c r="F2" s="11">
        <v>1</v>
      </c>
      <c r="G2" s="12">
        <v>2</v>
      </c>
      <c r="H2" s="13">
        <v>3</v>
      </c>
      <c r="I2" s="14">
        <v>4</v>
      </c>
    </row>
    <row r="3" spans="1:9" ht="15.75" x14ac:dyDescent="0.25">
      <c r="A3" s="10" t="s">
        <v>5</v>
      </c>
      <c r="B3" s="2"/>
    </row>
    <row r="4" spans="1:9" x14ac:dyDescent="0.25">
      <c r="A4" s="1" t="s">
        <v>1</v>
      </c>
      <c r="E4" s="1" t="s">
        <v>36</v>
      </c>
    </row>
    <row r="5" spans="1:9" x14ac:dyDescent="0.25">
      <c r="A5" s="1" t="s">
        <v>2</v>
      </c>
    </row>
    <row r="6" spans="1:9" x14ac:dyDescent="0.25">
      <c r="B6" s="5" t="s">
        <v>7</v>
      </c>
      <c r="C6" s="6"/>
      <c r="D6" s="7"/>
      <c r="E6" s="15">
        <v>4</v>
      </c>
    </row>
    <row r="7" spans="1:9" x14ac:dyDescent="0.25">
      <c r="B7" s="8" t="s">
        <v>8</v>
      </c>
      <c r="C7" s="3"/>
      <c r="D7" s="4"/>
      <c r="E7" s="15">
        <v>1</v>
      </c>
    </row>
    <row r="8" spans="1:9" x14ac:dyDescent="0.25">
      <c r="B8" s="8" t="s">
        <v>9</v>
      </c>
      <c r="C8" s="3"/>
      <c r="D8" s="4"/>
      <c r="E8" s="15">
        <v>4</v>
      </c>
    </row>
    <row r="9" spans="1:9" x14ac:dyDescent="0.25">
      <c r="A9" s="1" t="s">
        <v>3</v>
      </c>
    </row>
    <row r="10" spans="1:9" x14ac:dyDescent="0.25">
      <c r="A10" s="1"/>
      <c r="B10" s="25" t="s">
        <v>10</v>
      </c>
      <c r="C10" s="26"/>
      <c r="D10" s="27"/>
      <c r="E10" s="28">
        <v>2</v>
      </c>
    </row>
    <row r="11" spans="1:9" x14ac:dyDescent="0.25">
      <c r="B11" s="8" t="s">
        <v>11</v>
      </c>
      <c r="C11" s="3"/>
      <c r="D11" s="4"/>
      <c r="E11" s="24">
        <v>2</v>
      </c>
    </row>
    <row r="12" spans="1:9" x14ac:dyDescent="0.25">
      <c r="B12" s="8" t="s">
        <v>12</v>
      </c>
      <c r="C12" s="3"/>
      <c r="D12" s="4"/>
      <c r="E12" s="15">
        <v>3</v>
      </c>
    </row>
    <row r="13" spans="1:9" x14ac:dyDescent="0.25">
      <c r="B13" s="8" t="s">
        <v>13</v>
      </c>
      <c r="C13" s="3"/>
      <c r="D13" s="4"/>
      <c r="E13" s="15">
        <v>4</v>
      </c>
    </row>
    <row r="14" spans="1:9" x14ac:dyDescent="0.25">
      <c r="A14" s="1" t="s">
        <v>4</v>
      </c>
      <c r="E14" s="16"/>
    </row>
    <row r="15" spans="1:9" x14ac:dyDescent="0.25">
      <c r="B15" s="25" t="s">
        <v>14</v>
      </c>
      <c r="C15" s="26"/>
      <c r="D15" s="27"/>
      <c r="E15" s="28">
        <v>4</v>
      </c>
    </row>
    <row r="16" spans="1:9" x14ac:dyDescent="0.25">
      <c r="B16" s="8" t="s">
        <v>15</v>
      </c>
      <c r="C16" s="3"/>
      <c r="D16" s="4"/>
      <c r="E16" s="15">
        <v>4</v>
      </c>
    </row>
    <row r="17" spans="1:5" x14ac:dyDescent="0.25">
      <c r="E17" s="16"/>
    </row>
    <row r="18" spans="1:5" ht="15.75" x14ac:dyDescent="0.25">
      <c r="A18" s="10" t="s">
        <v>16</v>
      </c>
      <c r="B18" s="2"/>
      <c r="E18" s="16"/>
    </row>
    <row r="19" spans="1:5" x14ac:dyDescent="0.25">
      <c r="A19" s="1" t="s">
        <v>1</v>
      </c>
      <c r="E19" s="16"/>
    </row>
    <row r="20" spans="1:5" x14ac:dyDescent="0.25">
      <c r="A20" s="1" t="s">
        <v>2</v>
      </c>
      <c r="E20" s="16"/>
    </row>
    <row r="21" spans="1:5" x14ac:dyDescent="0.25">
      <c r="A21" s="1"/>
      <c r="B21" s="5" t="s">
        <v>17</v>
      </c>
      <c r="C21" s="6"/>
      <c r="D21" s="7"/>
      <c r="E21" s="15">
        <v>2</v>
      </c>
    </row>
    <row r="22" spans="1:5" x14ac:dyDescent="0.25">
      <c r="A22" s="1" t="s">
        <v>3</v>
      </c>
      <c r="E22" s="16"/>
    </row>
    <row r="23" spans="1:5" x14ac:dyDescent="0.25">
      <c r="A23" s="1"/>
      <c r="B23" s="5" t="s">
        <v>18</v>
      </c>
      <c r="C23" s="6"/>
      <c r="D23" s="7"/>
      <c r="E23" s="15">
        <v>2</v>
      </c>
    </row>
    <row r="24" spans="1:5" x14ac:dyDescent="0.25">
      <c r="B24" s="5" t="s">
        <v>19</v>
      </c>
      <c r="C24" s="6"/>
      <c r="D24" s="7"/>
      <c r="E24" s="15">
        <v>2</v>
      </c>
    </row>
    <row r="25" spans="1:5" x14ac:dyDescent="0.25">
      <c r="B25" s="8" t="s">
        <v>20</v>
      </c>
      <c r="C25" s="3"/>
      <c r="D25" s="4"/>
      <c r="E25" s="15">
        <v>2</v>
      </c>
    </row>
    <row r="26" spans="1:5" x14ac:dyDescent="0.25">
      <c r="B26" s="8" t="s">
        <v>21</v>
      </c>
      <c r="C26" s="3"/>
      <c r="D26" s="4"/>
      <c r="E26" s="15">
        <v>4</v>
      </c>
    </row>
    <row r="27" spans="1:5" x14ac:dyDescent="0.25">
      <c r="B27" s="8" t="s">
        <v>22</v>
      </c>
      <c r="C27" s="3"/>
      <c r="D27" s="4"/>
      <c r="E27" s="15">
        <v>4</v>
      </c>
    </row>
    <row r="28" spans="1:5" x14ac:dyDescent="0.25">
      <c r="B28" s="8" t="s">
        <v>23</v>
      </c>
      <c r="C28" s="3"/>
      <c r="D28" s="4"/>
      <c r="E28" s="15">
        <v>4</v>
      </c>
    </row>
    <row r="29" spans="1:5" x14ac:dyDescent="0.25">
      <c r="B29" s="8" t="s">
        <v>24</v>
      </c>
      <c r="C29" s="3"/>
      <c r="D29" s="4"/>
      <c r="E29" s="15">
        <v>4</v>
      </c>
    </row>
    <row r="30" spans="1:5" x14ac:dyDescent="0.25">
      <c r="B30" s="8" t="s">
        <v>25</v>
      </c>
      <c r="C30" s="3"/>
      <c r="D30" s="4"/>
      <c r="E30" s="15">
        <v>2</v>
      </c>
    </row>
    <row r="31" spans="1:5" x14ac:dyDescent="0.25">
      <c r="A31" s="1" t="s">
        <v>4</v>
      </c>
      <c r="E31" s="16"/>
    </row>
    <row r="32" spans="1:5" x14ac:dyDescent="0.25">
      <c r="B32" s="5" t="s">
        <v>26</v>
      </c>
      <c r="C32" s="6"/>
      <c r="D32" s="7"/>
      <c r="E32" s="15">
        <v>4</v>
      </c>
    </row>
    <row r="33" spans="2:5" x14ac:dyDescent="0.25">
      <c r="B33" s="8" t="s">
        <v>27</v>
      </c>
      <c r="C33" s="3"/>
      <c r="D33" s="4"/>
      <c r="E33" s="15">
        <v>4</v>
      </c>
    </row>
    <row r="34" spans="2:5" x14ac:dyDescent="0.25">
      <c r="B34" s="8" t="s">
        <v>28</v>
      </c>
      <c r="C34" s="3"/>
      <c r="D34" s="4"/>
      <c r="E34" s="15">
        <v>4</v>
      </c>
    </row>
    <row r="35" spans="2:5" x14ac:dyDescent="0.25">
      <c r="B35" s="8" t="s">
        <v>29</v>
      </c>
      <c r="C35" s="3"/>
      <c r="D35" s="4"/>
      <c r="E35" s="15">
        <v>4</v>
      </c>
    </row>
  </sheetData>
  <conditionalFormatting sqref="F2:I2">
    <cfRule type="colorScale" priority="2">
      <colorScale>
        <cfvo type="min"/>
        <cfvo type="percentile" val="50"/>
        <cfvo type="max"/>
        <color rgb="FFFF5050"/>
        <color theme="7" tint="0.79998168889431442"/>
        <color theme="9" tint="0.39997558519241921"/>
      </colorScale>
    </cfRule>
  </conditionalFormatting>
  <conditionalFormatting sqref="E6:E35">
    <cfRule type="colorScale" priority="1">
      <colorScale>
        <cfvo type="min"/>
        <cfvo type="percentile" val="50"/>
        <cfvo type="max"/>
        <color rgb="FFFF5050"/>
        <color theme="7" tint="0.59999389629810485"/>
        <color theme="9" tint="0.39997558519241921"/>
      </colorScale>
    </cfRule>
  </conditionalFormatting>
  <pageMargins left="0.7" right="0.7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4"/>
  <dimension ref="A1:I35"/>
  <sheetViews>
    <sheetView workbookViewId="0">
      <selection activeCell="G13" sqref="G13"/>
    </sheetView>
  </sheetViews>
  <sheetFormatPr defaultRowHeight="15" x14ac:dyDescent="0.25"/>
  <cols>
    <col min="2" max="2" width="27.140625" customWidth="1"/>
    <col min="4" max="4" width="3.42578125" customWidth="1"/>
    <col min="5" max="11" width="26.140625" customWidth="1"/>
  </cols>
  <sheetData>
    <row r="1" spans="1:9" ht="18.75" x14ac:dyDescent="0.3">
      <c r="A1" s="9" t="s">
        <v>0</v>
      </c>
      <c r="F1" s="2" t="s">
        <v>1</v>
      </c>
      <c r="G1" s="2" t="s">
        <v>2</v>
      </c>
      <c r="H1" s="2" t="s">
        <v>3</v>
      </c>
      <c r="I1" s="2" t="s">
        <v>4</v>
      </c>
    </row>
    <row r="2" spans="1:9" x14ac:dyDescent="0.25">
      <c r="F2" s="11">
        <v>1</v>
      </c>
      <c r="G2" s="12">
        <v>2</v>
      </c>
      <c r="H2" s="13">
        <v>3</v>
      </c>
      <c r="I2" s="14">
        <v>4</v>
      </c>
    </row>
    <row r="3" spans="1:9" ht="15.75" x14ac:dyDescent="0.25">
      <c r="A3" s="10" t="s">
        <v>5</v>
      </c>
      <c r="B3" s="2"/>
    </row>
    <row r="4" spans="1:9" x14ac:dyDescent="0.25">
      <c r="A4" s="1" t="s">
        <v>1</v>
      </c>
      <c r="E4" s="1" t="s">
        <v>37</v>
      </c>
    </row>
    <row r="5" spans="1:9" x14ac:dyDescent="0.25">
      <c r="A5" s="1" t="s">
        <v>2</v>
      </c>
    </row>
    <row r="6" spans="1:9" x14ac:dyDescent="0.25">
      <c r="B6" s="5" t="s">
        <v>7</v>
      </c>
      <c r="C6" s="6"/>
      <c r="D6" s="7"/>
      <c r="E6" s="15">
        <v>1</v>
      </c>
    </row>
    <row r="7" spans="1:9" x14ac:dyDescent="0.25">
      <c r="B7" s="8" t="s">
        <v>8</v>
      </c>
      <c r="C7" s="3"/>
      <c r="D7" s="4"/>
      <c r="E7" s="15">
        <v>1</v>
      </c>
    </row>
    <row r="8" spans="1:9" x14ac:dyDescent="0.25">
      <c r="B8" s="8" t="s">
        <v>9</v>
      </c>
      <c r="C8" s="3"/>
      <c r="D8" s="4"/>
      <c r="E8" s="15">
        <v>1</v>
      </c>
    </row>
    <row r="9" spans="1:9" x14ac:dyDescent="0.25">
      <c r="A9" s="1" t="s">
        <v>3</v>
      </c>
    </row>
    <row r="10" spans="1:9" x14ac:dyDescent="0.25">
      <c r="A10" s="1"/>
      <c r="B10" s="25" t="s">
        <v>10</v>
      </c>
      <c r="C10" s="26"/>
      <c r="D10" s="27"/>
      <c r="E10" s="28">
        <v>4</v>
      </c>
    </row>
    <row r="11" spans="1:9" x14ac:dyDescent="0.25">
      <c r="B11" s="8" t="s">
        <v>11</v>
      </c>
      <c r="C11" s="3"/>
      <c r="D11" s="4"/>
      <c r="E11" s="24">
        <v>1</v>
      </c>
    </row>
    <row r="12" spans="1:9" x14ac:dyDescent="0.25">
      <c r="B12" s="8" t="s">
        <v>12</v>
      </c>
      <c r="C12" s="3"/>
      <c r="D12" s="4"/>
      <c r="E12" s="15">
        <v>3</v>
      </c>
    </row>
    <row r="13" spans="1:9" x14ac:dyDescent="0.25">
      <c r="B13" s="8" t="s">
        <v>13</v>
      </c>
      <c r="C13" s="3"/>
      <c r="D13" s="4"/>
      <c r="E13" s="15">
        <v>3</v>
      </c>
    </row>
    <row r="14" spans="1:9" x14ac:dyDescent="0.25">
      <c r="A14" s="1" t="s">
        <v>4</v>
      </c>
      <c r="E14" s="16"/>
    </row>
    <row r="15" spans="1:9" x14ac:dyDescent="0.25">
      <c r="B15" s="25" t="s">
        <v>14</v>
      </c>
      <c r="C15" s="26"/>
      <c r="D15" s="27"/>
      <c r="E15" s="28">
        <v>4</v>
      </c>
    </row>
    <row r="16" spans="1:9" x14ac:dyDescent="0.25">
      <c r="B16" s="8" t="s">
        <v>15</v>
      </c>
      <c r="C16" s="3"/>
      <c r="D16" s="4"/>
      <c r="E16" s="15">
        <v>4</v>
      </c>
    </row>
    <row r="17" spans="1:5" x14ac:dyDescent="0.25">
      <c r="E17" s="16"/>
    </row>
    <row r="18" spans="1:5" ht="15.75" x14ac:dyDescent="0.25">
      <c r="A18" s="10" t="s">
        <v>16</v>
      </c>
      <c r="B18" s="2"/>
      <c r="E18" s="16"/>
    </row>
    <row r="19" spans="1:5" x14ac:dyDescent="0.25">
      <c r="A19" s="1" t="s">
        <v>1</v>
      </c>
      <c r="E19" s="16"/>
    </row>
    <row r="20" spans="1:5" x14ac:dyDescent="0.25">
      <c r="A20" s="1" t="s">
        <v>2</v>
      </c>
      <c r="E20" s="16"/>
    </row>
    <row r="21" spans="1:5" x14ac:dyDescent="0.25">
      <c r="A21" s="1"/>
      <c r="B21" s="5" t="s">
        <v>17</v>
      </c>
      <c r="C21" s="6"/>
      <c r="D21" s="7"/>
      <c r="E21" s="15">
        <v>1</v>
      </c>
    </row>
    <row r="22" spans="1:5" x14ac:dyDescent="0.25">
      <c r="A22" s="1" t="s">
        <v>3</v>
      </c>
      <c r="E22" s="16"/>
    </row>
    <row r="23" spans="1:5" x14ac:dyDescent="0.25">
      <c r="A23" s="1"/>
      <c r="B23" s="5" t="s">
        <v>18</v>
      </c>
      <c r="C23" s="6"/>
      <c r="D23" s="7"/>
      <c r="E23" s="15">
        <v>4</v>
      </c>
    </row>
    <row r="24" spans="1:5" x14ac:dyDescent="0.25">
      <c r="B24" s="5" t="s">
        <v>19</v>
      </c>
      <c r="C24" s="6"/>
      <c r="D24" s="7"/>
      <c r="E24" s="15">
        <v>4</v>
      </c>
    </row>
    <row r="25" spans="1:5" x14ac:dyDescent="0.25">
      <c r="B25" s="8" t="s">
        <v>20</v>
      </c>
      <c r="C25" s="3"/>
      <c r="D25" s="4"/>
      <c r="E25" s="15">
        <v>1</v>
      </c>
    </row>
    <row r="26" spans="1:5" x14ac:dyDescent="0.25">
      <c r="B26" s="8" t="s">
        <v>21</v>
      </c>
      <c r="C26" s="3"/>
      <c r="D26" s="4"/>
      <c r="E26" s="15">
        <v>4</v>
      </c>
    </row>
    <row r="27" spans="1:5" x14ac:dyDescent="0.25">
      <c r="B27" s="8" t="s">
        <v>22</v>
      </c>
      <c r="C27" s="3"/>
      <c r="D27" s="4"/>
      <c r="E27" s="15">
        <v>4</v>
      </c>
    </row>
    <row r="28" spans="1:5" x14ac:dyDescent="0.25">
      <c r="B28" s="8" t="s">
        <v>23</v>
      </c>
      <c r="C28" s="3"/>
      <c r="D28" s="4"/>
      <c r="E28" s="15">
        <v>4</v>
      </c>
    </row>
    <row r="29" spans="1:5" x14ac:dyDescent="0.25">
      <c r="B29" s="8" t="s">
        <v>24</v>
      </c>
      <c r="C29" s="3"/>
      <c r="D29" s="4"/>
      <c r="E29" s="15">
        <v>2</v>
      </c>
    </row>
    <row r="30" spans="1:5" x14ac:dyDescent="0.25">
      <c r="B30" s="8" t="s">
        <v>25</v>
      </c>
      <c r="C30" s="3"/>
      <c r="D30" s="4"/>
      <c r="E30" s="15">
        <v>4</v>
      </c>
    </row>
    <row r="31" spans="1:5" x14ac:dyDescent="0.25">
      <c r="A31" s="1" t="s">
        <v>4</v>
      </c>
      <c r="E31" s="16"/>
    </row>
    <row r="32" spans="1:5" x14ac:dyDescent="0.25">
      <c r="B32" s="5" t="s">
        <v>26</v>
      </c>
      <c r="C32" s="6"/>
      <c r="D32" s="7"/>
      <c r="E32" s="15">
        <v>4</v>
      </c>
    </row>
    <row r="33" spans="2:5" x14ac:dyDescent="0.25">
      <c r="B33" s="8" t="s">
        <v>27</v>
      </c>
      <c r="C33" s="3"/>
      <c r="D33" s="4"/>
      <c r="E33" s="15">
        <v>4</v>
      </c>
    </row>
    <row r="34" spans="2:5" x14ac:dyDescent="0.25">
      <c r="B34" s="8" t="s">
        <v>28</v>
      </c>
      <c r="C34" s="3"/>
      <c r="D34" s="4"/>
      <c r="E34" s="15">
        <v>4</v>
      </c>
    </row>
    <row r="35" spans="2:5" x14ac:dyDescent="0.25">
      <c r="B35" s="8" t="s">
        <v>29</v>
      </c>
      <c r="C35" s="3"/>
      <c r="D35" s="4"/>
      <c r="E35" s="15">
        <v>4</v>
      </c>
    </row>
  </sheetData>
  <conditionalFormatting sqref="F2:I2">
    <cfRule type="colorScale" priority="2">
      <colorScale>
        <cfvo type="min"/>
        <cfvo type="percentile" val="50"/>
        <cfvo type="max"/>
        <color rgb="FFFF5050"/>
        <color theme="7" tint="0.79998168889431442"/>
        <color theme="9" tint="0.39997558519241921"/>
      </colorScale>
    </cfRule>
  </conditionalFormatting>
  <conditionalFormatting sqref="E6:E35">
    <cfRule type="colorScale" priority="1">
      <colorScale>
        <cfvo type="min"/>
        <cfvo type="percentile" val="50"/>
        <cfvo type="max"/>
        <color rgb="FFFF5050"/>
        <color theme="7" tint="0.59999389629810485"/>
        <color theme="9" tint="0.39997558519241921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5"/>
  <dimension ref="A1:I43"/>
  <sheetViews>
    <sheetView zoomScaleNormal="100" workbookViewId="0">
      <selection activeCell="B48" sqref="B48"/>
    </sheetView>
  </sheetViews>
  <sheetFormatPr defaultRowHeight="15" x14ac:dyDescent="0.25"/>
  <cols>
    <col min="2" max="2" width="27.140625" customWidth="1"/>
    <col min="4" max="4" width="3.42578125" customWidth="1"/>
    <col min="5" max="11" width="26.140625" customWidth="1"/>
  </cols>
  <sheetData>
    <row r="1" spans="1:9" ht="18.75" x14ac:dyDescent="0.3">
      <c r="A1" s="9" t="s">
        <v>0</v>
      </c>
      <c r="F1" s="2" t="s">
        <v>1</v>
      </c>
      <c r="G1" s="2" t="s">
        <v>2</v>
      </c>
      <c r="H1" s="2" t="s">
        <v>3</v>
      </c>
      <c r="I1" s="2" t="s">
        <v>4</v>
      </c>
    </row>
    <row r="2" spans="1:9" x14ac:dyDescent="0.25">
      <c r="F2" s="11">
        <v>1</v>
      </c>
      <c r="G2" s="12">
        <v>2</v>
      </c>
      <c r="H2" s="13">
        <v>3</v>
      </c>
      <c r="I2" s="14">
        <v>4</v>
      </c>
    </row>
    <row r="3" spans="1:9" ht="15.75" x14ac:dyDescent="0.25">
      <c r="A3" s="10" t="s">
        <v>5</v>
      </c>
      <c r="B3" s="2"/>
    </row>
    <row r="4" spans="1:9" x14ac:dyDescent="0.25">
      <c r="A4" s="1" t="s">
        <v>1</v>
      </c>
      <c r="E4" s="1" t="s">
        <v>38</v>
      </c>
    </row>
    <row r="5" spans="1:9" x14ac:dyDescent="0.25">
      <c r="A5" s="1" t="s">
        <v>2</v>
      </c>
    </row>
    <row r="6" spans="1:9" x14ac:dyDescent="0.25">
      <c r="B6" s="5" t="s">
        <v>7</v>
      </c>
      <c r="C6" s="6"/>
      <c r="D6" s="7"/>
      <c r="E6" s="15">
        <v>2</v>
      </c>
    </row>
    <row r="7" spans="1:9" x14ac:dyDescent="0.25">
      <c r="B7" s="8" t="s">
        <v>8</v>
      </c>
      <c r="C7" s="3"/>
      <c r="D7" s="4"/>
      <c r="E7" s="15">
        <v>1</v>
      </c>
    </row>
    <row r="8" spans="1:9" x14ac:dyDescent="0.25">
      <c r="B8" s="8" t="s">
        <v>9</v>
      </c>
      <c r="C8" s="3"/>
      <c r="D8" s="4"/>
      <c r="E8" s="15">
        <v>2</v>
      </c>
    </row>
    <row r="9" spans="1:9" x14ac:dyDescent="0.25">
      <c r="A9" s="1" t="s">
        <v>3</v>
      </c>
    </row>
    <row r="10" spans="1:9" x14ac:dyDescent="0.25">
      <c r="A10" s="1"/>
      <c r="B10" s="25" t="s">
        <v>10</v>
      </c>
      <c r="C10" s="26"/>
      <c r="D10" s="27"/>
      <c r="E10" s="28">
        <v>2</v>
      </c>
    </row>
    <row r="11" spans="1:9" x14ac:dyDescent="0.25">
      <c r="B11" s="8" t="s">
        <v>11</v>
      </c>
      <c r="C11" s="3"/>
      <c r="D11" s="4"/>
      <c r="E11" s="24">
        <v>2</v>
      </c>
    </row>
    <row r="12" spans="1:9" x14ac:dyDescent="0.25">
      <c r="B12" s="8" t="s">
        <v>12</v>
      </c>
      <c r="C12" s="3"/>
      <c r="D12" s="4"/>
      <c r="E12" s="15">
        <v>2</v>
      </c>
    </row>
    <row r="13" spans="1:9" x14ac:dyDescent="0.25">
      <c r="B13" s="8" t="s">
        <v>13</v>
      </c>
      <c r="C13" s="3"/>
      <c r="D13" s="4"/>
      <c r="E13" s="15">
        <v>4</v>
      </c>
    </row>
    <row r="14" spans="1:9" x14ac:dyDescent="0.25">
      <c r="A14" s="1" t="s">
        <v>4</v>
      </c>
      <c r="E14" s="16"/>
    </row>
    <row r="15" spans="1:9" x14ac:dyDescent="0.25">
      <c r="B15" s="25" t="s">
        <v>14</v>
      </c>
      <c r="C15" s="26"/>
      <c r="D15" s="27"/>
      <c r="E15" s="28">
        <v>4</v>
      </c>
    </row>
    <row r="16" spans="1:9" x14ac:dyDescent="0.25">
      <c r="B16" s="8" t="s">
        <v>15</v>
      </c>
      <c r="C16" s="3"/>
      <c r="D16" s="4"/>
      <c r="E16" s="15">
        <v>4</v>
      </c>
    </row>
    <row r="17" spans="1:5" x14ac:dyDescent="0.25">
      <c r="E17" s="16"/>
    </row>
    <row r="18" spans="1:5" ht="15.75" x14ac:dyDescent="0.25">
      <c r="A18" s="10" t="s">
        <v>16</v>
      </c>
      <c r="B18" s="2"/>
      <c r="E18" s="16"/>
    </row>
    <row r="19" spans="1:5" x14ac:dyDescent="0.25">
      <c r="A19" s="1" t="s">
        <v>1</v>
      </c>
      <c r="E19" s="16"/>
    </row>
    <row r="20" spans="1:5" x14ac:dyDescent="0.25">
      <c r="A20" s="1" t="s">
        <v>2</v>
      </c>
      <c r="E20" s="16"/>
    </row>
    <row r="21" spans="1:5" x14ac:dyDescent="0.25">
      <c r="A21" s="1"/>
      <c r="B21" s="5" t="s">
        <v>17</v>
      </c>
      <c r="C21" s="6"/>
      <c r="D21" s="7"/>
      <c r="E21" s="15">
        <v>1</v>
      </c>
    </row>
    <row r="22" spans="1:5" x14ac:dyDescent="0.25">
      <c r="A22" s="1" t="s">
        <v>3</v>
      </c>
      <c r="E22" s="16"/>
    </row>
    <row r="23" spans="1:5" x14ac:dyDescent="0.25">
      <c r="A23" s="1"/>
      <c r="B23" s="5" t="s">
        <v>18</v>
      </c>
      <c r="C23" s="6"/>
      <c r="D23" s="7"/>
      <c r="E23" s="15">
        <v>2</v>
      </c>
    </row>
    <row r="24" spans="1:5" x14ac:dyDescent="0.25">
      <c r="B24" s="5" t="s">
        <v>19</v>
      </c>
      <c r="C24" s="6"/>
      <c r="D24" s="7"/>
      <c r="E24" s="15">
        <v>2</v>
      </c>
    </row>
    <row r="25" spans="1:5" x14ac:dyDescent="0.25">
      <c r="B25" s="8" t="s">
        <v>20</v>
      </c>
      <c r="C25" s="3"/>
      <c r="D25" s="4"/>
      <c r="E25" s="15">
        <v>2</v>
      </c>
    </row>
    <row r="26" spans="1:5" x14ac:dyDescent="0.25">
      <c r="B26" s="8" t="s">
        <v>21</v>
      </c>
      <c r="C26" s="3"/>
      <c r="D26" s="4"/>
      <c r="E26" s="15">
        <v>4</v>
      </c>
    </row>
    <row r="27" spans="1:5" x14ac:dyDescent="0.25">
      <c r="B27" s="8" t="s">
        <v>22</v>
      </c>
      <c r="C27" s="3"/>
      <c r="D27" s="4"/>
      <c r="E27" s="15">
        <v>4</v>
      </c>
    </row>
    <row r="28" spans="1:5" x14ac:dyDescent="0.25">
      <c r="B28" s="8" t="s">
        <v>23</v>
      </c>
      <c r="C28" s="3"/>
      <c r="D28" s="4"/>
      <c r="E28" s="15">
        <v>4</v>
      </c>
    </row>
    <row r="29" spans="1:5" x14ac:dyDescent="0.25">
      <c r="B29" s="8" t="s">
        <v>24</v>
      </c>
      <c r="C29" s="3"/>
      <c r="D29" s="4"/>
      <c r="E29" s="15">
        <v>1</v>
      </c>
    </row>
    <row r="30" spans="1:5" x14ac:dyDescent="0.25">
      <c r="B30" s="8" t="s">
        <v>25</v>
      </c>
      <c r="C30" s="3"/>
      <c r="D30" s="4"/>
      <c r="E30" s="15">
        <v>3</v>
      </c>
    </row>
    <row r="31" spans="1:5" x14ac:dyDescent="0.25">
      <c r="A31" s="1" t="s">
        <v>4</v>
      </c>
      <c r="E31" s="16"/>
    </row>
    <row r="32" spans="1:5" x14ac:dyDescent="0.25">
      <c r="B32" s="5" t="s">
        <v>26</v>
      </c>
      <c r="C32" s="6"/>
      <c r="D32" s="7"/>
      <c r="E32" s="15">
        <v>4</v>
      </c>
    </row>
    <row r="33" spans="2:5" x14ac:dyDescent="0.25">
      <c r="B33" s="8" t="s">
        <v>27</v>
      </c>
      <c r="C33" s="3"/>
      <c r="D33" s="4"/>
      <c r="E33" s="15">
        <v>4</v>
      </c>
    </row>
    <row r="34" spans="2:5" x14ac:dyDescent="0.25">
      <c r="B34" s="8" t="s">
        <v>28</v>
      </c>
      <c r="C34" s="3"/>
      <c r="D34" s="4"/>
      <c r="E34" s="15">
        <v>4</v>
      </c>
    </row>
    <row r="35" spans="2:5" x14ac:dyDescent="0.25">
      <c r="B35" s="8" t="s">
        <v>29</v>
      </c>
      <c r="C35" s="3"/>
      <c r="D35" s="4"/>
      <c r="E35" s="15">
        <v>4</v>
      </c>
    </row>
    <row r="38" spans="2:5" x14ac:dyDescent="0.25">
      <c r="B38" t="s">
        <v>30</v>
      </c>
      <c r="E38">
        <v>2</v>
      </c>
    </row>
    <row r="41" spans="2:5" x14ac:dyDescent="0.25">
      <c r="B41" t="s">
        <v>32</v>
      </c>
    </row>
    <row r="42" spans="2:5" x14ac:dyDescent="0.25">
      <c r="B42" t="s">
        <v>33</v>
      </c>
      <c r="E42">
        <v>3</v>
      </c>
    </row>
    <row r="43" spans="2:5" x14ac:dyDescent="0.25">
      <c r="B43" t="s">
        <v>34</v>
      </c>
      <c r="E43">
        <v>2</v>
      </c>
    </row>
  </sheetData>
  <conditionalFormatting sqref="F2:I2">
    <cfRule type="colorScale" priority="2">
      <colorScale>
        <cfvo type="min"/>
        <cfvo type="percentile" val="50"/>
        <cfvo type="max"/>
        <color rgb="FFFF5050"/>
        <color theme="7" tint="0.79998168889431442"/>
        <color theme="9" tint="0.39997558519241921"/>
      </colorScale>
    </cfRule>
  </conditionalFormatting>
  <conditionalFormatting sqref="E6:E35">
    <cfRule type="colorScale" priority="1">
      <colorScale>
        <cfvo type="min"/>
        <cfvo type="percentile" val="50"/>
        <cfvo type="max"/>
        <color rgb="FFFF5050"/>
        <color theme="7" tint="0.59999389629810485"/>
        <color theme="9" tint="0.39997558519241921"/>
      </colorScale>
    </cfRule>
  </conditionalFormatting>
  <pageMargins left="0.7" right="0.7" top="0.75" bottom="0.75" header="0.3" footer="0.3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6"/>
  <dimension ref="A1:I35"/>
  <sheetViews>
    <sheetView zoomScaleNormal="100" workbookViewId="0">
      <selection activeCell="F21" sqref="F21"/>
    </sheetView>
  </sheetViews>
  <sheetFormatPr defaultRowHeight="15" x14ac:dyDescent="0.25"/>
  <cols>
    <col min="2" max="2" width="27.140625" customWidth="1"/>
    <col min="4" max="4" width="3.42578125" customWidth="1"/>
    <col min="5" max="10" width="26.140625" customWidth="1"/>
  </cols>
  <sheetData>
    <row r="1" spans="1:9" ht="18.75" x14ac:dyDescent="0.3">
      <c r="A1" s="9" t="s">
        <v>0</v>
      </c>
      <c r="F1" s="2" t="s">
        <v>1</v>
      </c>
      <c r="G1" s="2" t="s">
        <v>2</v>
      </c>
      <c r="H1" s="2" t="s">
        <v>3</v>
      </c>
      <c r="I1" s="2" t="s">
        <v>4</v>
      </c>
    </row>
    <row r="2" spans="1:9" x14ac:dyDescent="0.25">
      <c r="F2" s="11">
        <v>1</v>
      </c>
      <c r="G2" s="12">
        <v>2</v>
      </c>
      <c r="H2" s="13">
        <v>3</v>
      </c>
      <c r="I2" s="14">
        <v>4</v>
      </c>
    </row>
    <row r="3" spans="1:9" ht="15.75" x14ac:dyDescent="0.25">
      <c r="A3" s="10" t="s">
        <v>5</v>
      </c>
      <c r="B3" s="2"/>
    </row>
    <row r="4" spans="1:9" x14ac:dyDescent="0.25">
      <c r="A4" s="1" t="s">
        <v>1</v>
      </c>
      <c r="E4" s="1" t="s">
        <v>39</v>
      </c>
    </row>
    <row r="5" spans="1:9" x14ac:dyDescent="0.25">
      <c r="A5" s="1" t="s">
        <v>2</v>
      </c>
    </row>
    <row r="6" spans="1:9" x14ac:dyDescent="0.25">
      <c r="B6" s="5" t="s">
        <v>7</v>
      </c>
      <c r="C6" s="6"/>
      <c r="D6" s="7"/>
      <c r="E6" s="15">
        <v>4</v>
      </c>
    </row>
    <row r="7" spans="1:9" x14ac:dyDescent="0.25">
      <c r="B7" s="8" t="s">
        <v>8</v>
      </c>
      <c r="C7" s="3"/>
      <c r="D7" s="4"/>
      <c r="E7" s="15">
        <v>2</v>
      </c>
    </row>
    <row r="8" spans="1:9" x14ac:dyDescent="0.25">
      <c r="B8" s="8" t="s">
        <v>9</v>
      </c>
      <c r="C8" s="3"/>
      <c r="D8" s="4"/>
      <c r="E8" s="15">
        <v>2</v>
      </c>
    </row>
    <row r="9" spans="1:9" x14ac:dyDescent="0.25">
      <c r="A9" s="1" t="s">
        <v>3</v>
      </c>
    </row>
    <row r="10" spans="1:9" x14ac:dyDescent="0.25">
      <c r="A10" s="1"/>
      <c r="B10" s="25" t="s">
        <v>10</v>
      </c>
      <c r="C10" s="26"/>
      <c r="D10" s="27"/>
      <c r="E10" s="28">
        <v>4</v>
      </c>
    </row>
    <row r="11" spans="1:9" x14ac:dyDescent="0.25">
      <c r="B11" s="8" t="s">
        <v>11</v>
      </c>
      <c r="C11" s="3"/>
      <c r="D11" s="4"/>
      <c r="E11" s="24">
        <v>1</v>
      </c>
    </row>
    <row r="12" spans="1:9" x14ac:dyDescent="0.25">
      <c r="B12" s="8" t="s">
        <v>12</v>
      </c>
      <c r="C12" s="3"/>
      <c r="D12" s="4"/>
      <c r="E12" s="15">
        <v>4</v>
      </c>
    </row>
    <row r="13" spans="1:9" x14ac:dyDescent="0.25">
      <c r="B13" s="8" t="s">
        <v>13</v>
      </c>
      <c r="C13" s="3"/>
      <c r="D13" s="4"/>
      <c r="E13" s="15">
        <v>4</v>
      </c>
    </row>
    <row r="14" spans="1:9" x14ac:dyDescent="0.25">
      <c r="A14" s="1" t="s">
        <v>4</v>
      </c>
      <c r="E14" s="16"/>
    </row>
    <row r="15" spans="1:9" x14ac:dyDescent="0.25">
      <c r="B15" s="25" t="s">
        <v>14</v>
      </c>
      <c r="C15" s="26"/>
      <c r="D15" s="27"/>
      <c r="E15" s="28">
        <v>4</v>
      </c>
    </row>
    <row r="16" spans="1:9" x14ac:dyDescent="0.25">
      <c r="B16" s="8" t="s">
        <v>15</v>
      </c>
      <c r="C16" s="3"/>
      <c r="D16" s="4"/>
      <c r="E16" s="15">
        <v>4</v>
      </c>
    </row>
    <row r="17" spans="1:5" x14ac:dyDescent="0.25">
      <c r="E17" s="16"/>
    </row>
    <row r="18" spans="1:5" ht="15.75" x14ac:dyDescent="0.25">
      <c r="A18" s="10" t="s">
        <v>16</v>
      </c>
      <c r="B18" s="2"/>
      <c r="E18" s="16"/>
    </row>
    <row r="19" spans="1:5" x14ac:dyDescent="0.25">
      <c r="A19" s="1" t="s">
        <v>1</v>
      </c>
      <c r="E19" s="16"/>
    </row>
    <row r="20" spans="1:5" x14ac:dyDescent="0.25">
      <c r="A20" s="1" t="s">
        <v>2</v>
      </c>
      <c r="E20" s="16"/>
    </row>
    <row r="21" spans="1:5" x14ac:dyDescent="0.25">
      <c r="A21" s="1"/>
      <c r="B21" s="5" t="s">
        <v>17</v>
      </c>
      <c r="C21" s="6"/>
      <c r="D21" s="7"/>
      <c r="E21" s="15">
        <v>1</v>
      </c>
    </row>
    <row r="22" spans="1:5" x14ac:dyDescent="0.25">
      <c r="A22" s="1" t="s">
        <v>3</v>
      </c>
      <c r="E22" s="16"/>
    </row>
    <row r="23" spans="1:5" x14ac:dyDescent="0.25">
      <c r="A23" s="1"/>
      <c r="B23" s="5" t="s">
        <v>18</v>
      </c>
      <c r="C23" s="6"/>
      <c r="D23" s="7"/>
      <c r="E23" s="15">
        <v>2</v>
      </c>
    </row>
    <row r="24" spans="1:5" x14ac:dyDescent="0.25">
      <c r="B24" s="5" t="s">
        <v>19</v>
      </c>
      <c r="C24" s="6"/>
      <c r="D24" s="7"/>
      <c r="E24" s="15">
        <v>4</v>
      </c>
    </row>
    <row r="25" spans="1:5" x14ac:dyDescent="0.25">
      <c r="B25" s="8" t="s">
        <v>20</v>
      </c>
      <c r="C25" s="3"/>
      <c r="D25" s="4"/>
      <c r="E25" s="15">
        <v>4</v>
      </c>
    </row>
    <row r="26" spans="1:5" x14ac:dyDescent="0.25">
      <c r="B26" s="8" t="s">
        <v>21</v>
      </c>
      <c r="C26" s="3"/>
      <c r="D26" s="4"/>
      <c r="E26" s="15">
        <v>2</v>
      </c>
    </row>
    <row r="27" spans="1:5" x14ac:dyDescent="0.25">
      <c r="B27" s="8" t="s">
        <v>22</v>
      </c>
      <c r="C27" s="3"/>
      <c r="D27" s="4"/>
      <c r="E27" s="15">
        <v>2</v>
      </c>
    </row>
    <row r="28" spans="1:5" x14ac:dyDescent="0.25">
      <c r="B28" s="8" t="s">
        <v>23</v>
      </c>
      <c r="C28" s="3"/>
      <c r="D28" s="4"/>
      <c r="E28" s="15">
        <v>1</v>
      </c>
    </row>
    <row r="29" spans="1:5" x14ac:dyDescent="0.25">
      <c r="B29" s="8" t="s">
        <v>24</v>
      </c>
      <c r="C29" s="3"/>
      <c r="D29" s="4"/>
      <c r="E29" s="15">
        <v>1</v>
      </c>
    </row>
    <row r="30" spans="1:5" x14ac:dyDescent="0.25">
      <c r="B30" s="8" t="s">
        <v>25</v>
      </c>
      <c r="C30" s="3"/>
      <c r="D30" s="4"/>
      <c r="E30" s="15">
        <v>4</v>
      </c>
    </row>
    <row r="31" spans="1:5" x14ac:dyDescent="0.25">
      <c r="A31" s="1" t="s">
        <v>4</v>
      </c>
      <c r="E31" s="16"/>
    </row>
    <row r="32" spans="1:5" x14ac:dyDescent="0.25">
      <c r="B32" s="5" t="s">
        <v>26</v>
      </c>
      <c r="C32" s="6"/>
      <c r="D32" s="7"/>
      <c r="E32" s="15">
        <v>4</v>
      </c>
    </row>
    <row r="33" spans="2:5" x14ac:dyDescent="0.25">
      <c r="B33" s="8" t="s">
        <v>27</v>
      </c>
      <c r="C33" s="3"/>
      <c r="D33" s="4"/>
      <c r="E33" s="15">
        <v>4</v>
      </c>
    </row>
    <row r="34" spans="2:5" x14ac:dyDescent="0.25">
      <c r="B34" s="8" t="s">
        <v>28</v>
      </c>
      <c r="C34" s="3"/>
      <c r="D34" s="4"/>
      <c r="E34" s="15">
        <v>4</v>
      </c>
    </row>
    <row r="35" spans="2:5" x14ac:dyDescent="0.25">
      <c r="B35" s="8" t="s">
        <v>29</v>
      </c>
      <c r="C35" s="3"/>
      <c r="D35" s="4"/>
      <c r="E35" s="15">
        <v>4</v>
      </c>
    </row>
  </sheetData>
  <conditionalFormatting sqref="F2:I2">
    <cfRule type="colorScale" priority="2">
      <colorScale>
        <cfvo type="min"/>
        <cfvo type="percentile" val="50"/>
        <cfvo type="max"/>
        <color rgb="FFFF5050"/>
        <color theme="7" tint="0.79998168889431442"/>
        <color theme="9" tint="0.39997558519241921"/>
      </colorScale>
    </cfRule>
  </conditionalFormatting>
  <conditionalFormatting sqref="E6:E35">
    <cfRule type="colorScale" priority="1">
      <colorScale>
        <cfvo type="min"/>
        <cfvo type="percentile" val="50"/>
        <cfvo type="max"/>
        <color rgb="FFFF5050"/>
        <color theme="7" tint="0.59999389629810485"/>
        <color theme="9" tint="0.39997558519241921"/>
      </colorScale>
    </cfRule>
  </conditionalFormatting>
  <pageMargins left="0.7" right="0.7" top="0.75" bottom="0.75" header="0.3" footer="0.3"/>
  <pageSetup paperSize="9" orientation="portrait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7"/>
  <dimension ref="A1:N46"/>
  <sheetViews>
    <sheetView tabSelected="1" workbookViewId="0">
      <pane xSplit="4" ySplit="4" topLeftCell="E20" activePane="bottomRight" state="frozen"/>
      <selection pane="topRight" activeCell="E1" sqref="E1"/>
      <selection pane="bottomLeft" activeCell="A5" sqref="A5"/>
      <selection pane="bottomRight" activeCell="A44" sqref="A44:B44"/>
    </sheetView>
  </sheetViews>
  <sheetFormatPr defaultRowHeight="15" x14ac:dyDescent="0.25"/>
  <cols>
    <col min="2" max="2" width="27.140625" customWidth="1"/>
    <col min="3" max="3" width="9.140625" customWidth="1"/>
    <col min="4" max="4" width="3.42578125" customWidth="1"/>
    <col min="5" max="11" width="26.140625" customWidth="1"/>
    <col min="12" max="13" width="13.28515625" customWidth="1"/>
    <col min="14" max="14" width="17.85546875" customWidth="1"/>
  </cols>
  <sheetData>
    <row r="1" spans="1:14" ht="18.75" x14ac:dyDescent="0.3">
      <c r="A1" s="9" t="s">
        <v>0</v>
      </c>
      <c r="F1" s="2" t="s">
        <v>1</v>
      </c>
      <c r="G1" s="2" t="s">
        <v>2</v>
      </c>
      <c r="H1" s="2" t="s">
        <v>3</v>
      </c>
      <c r="I1" s="2" t="s">
        <v>4</v>
      </c>
    </row>
    <row r="2" spans="1:14" x14ac:dyDescent="0.25">
      <c r="F2" s="11">
        <v>1</v>
      </c>
      <c r="G2" s="12">
        <v>2</v>
      </c>
      <c r="H2" s="13">
        <v>3</v>
      </c>
      <c r="I2" s="14">
        <v>4</v>
      </c>
    </row>
    <row r="3" spans="1:14" ht="15.75" x14ac:dyDescent="0.25">
      <c r="A3" s="10" t="s">
        <v>5</v>
      </c>
      <c r="B3" s="2"/>
    </row>
    <row r="4" spans="1:14" ht="15.75" x14ac:dyDescent="0.25">
      <c r="A4" s="10"/>
      <c r="B4" s="2"/>
      <c r="E4" s="1" t="s">
        <v>40</v>
      </c>
      <c r="F4" s="1" t="s">
        <v>41</v>
      </c>
      <c r="G4" s="1" t="s">
        <v>42</v>
      </c>
      <c r="H4" s="1" t="s">
        <v>38</v>
      </c>
      <c r="I4" s="1" t="s">
        <v>35</v>
      </c>
      <c r="J4" s="1" t="s">
        <v>43</v>
      </c>
      <c r="K4" s="1" t="s">
        <v>44</v>
      </c>
      <c r="L4" s="1" t="s">
        <v>45</v>
      </c>
      <c r="M4" s="1" t="s">
        <v>46</v>
      </c>
      <c r="N4" s="1" t="s">
        <v>47</v>
      </c>
    </row>
    <row r="5" spans="1:14" x14ac:dyDescent="0.25">
      <c r="A5" s="1" t="s">
        <v>1</v>
      </c>
    </row>
    <row r="6" spans="1:14" x14ac:dyDescent="0.25">
      <c r="A6" s="1" t="s">
        <v>2</v>
      </c>
    </row>
    <row r="7" spans="1:14" x14ac:dyDescent="0.25">
      <c r="B7" s="32" t="s">
        <v>7</v>
      </c>
      <c r="C7" s="6"/>
      <c r="D7" s="7"/>
      <c r="E7" s="15">
        <v>1</v>
      </c>
      <c r="F7" s="15">
        <f>'Teknik og Miljø'!E6</f>
        <v>4</v>
      </c>
      <c r="G7" s="15">
        <f>'Børn og Unge'!E6</f>
        <v>1</v>
      </c>
      <c r="H7" s="15">
        <f>Velfærd!E6</f>
        <v>2</v>
      </c>
      <c r="I7" s="15">
        <f>'Kultur og Sundhed'!E6</f>
        <v>3</v>
      </c>
      <c r="J7" s="18">
        <f>'Kommunaldirektørens Stabe'!E6</f>
        <v>4</v>
      </c>
      <c r="K7" s="19">
        <f>AVERAGE(E7:J7)</f>
        <v>2.5</v>
      </c>
      <c r="L7" s="21">
        <f>ROUND(K7:K7,0)</f>
        <v>3</v>
      </c>
      <c r="M7" s="21">
        <f>MAX(E7:J7)</f>
        <v>4</v>
      </c>
      <c r="N7" s="23">
        <v>2</v>
      </c>
    </row>
    <row r="8" spans="1:14" x14ac:dyDescent="0.25">
      <c r="B8" s="31" t="s">
        <v>8</v>
      </c>
      <c r="C8" s="3"/>
      <c r="D8" s="4"/>
      <c r="E8" s="15">
        <v>1</v>
      </c>
      <c r="F8" s="15">
        <f>'Teknik og Miljø'!E7</f>
        <v>1</v>
      </c>
      <c r="G8" s="15">
        <f>'Børn og Unge'!E7</f>
        <v>1</v>
      </c>
      <c r="H8" s="15">
        <f>Velfærd!E7</f>
        <v>1</v>
      </c>
      <c r="I8" s="15">
        <f>'Kultur og Sundhed'!E7</f>
        <v>1</v>
      </c>
      <c r="J8" s="18">
        <f>'Kommunaldirektørens Stabe'!E7</f>
        <v>2</v>
      </c>
      <c r="K8" s="19">
        <f t="shared" ref="K8:K37" si="0">AVERAGE(E8:J8)</f>
        <v>1.1666666666666667</v>
      </c>
      <c r="L8" s="21">
        <f t="shared" ref="L8:L37" si="1">ROUND(K8:K8,0)</f>
        <v>1</v>
      </c>
      <c r="M8" s="21">
        <f t="shared" ref="M8:M9" si="2">MAX(E8:J8)</f>
        <v>2</v>
      </c>
      <c r="N8" s="23">
        <v>2.5</v>
      </c>
    </row>
    <row r="9" spans="1:14" x14ac:dyDescent="0.25">
      <c r="B9" s="31" t="s">
        <v>48</v>
      </c>
      <c r="C9" s="3"/>
      <c r="D9" s="4"/>
      <c r="E9" s="15">
        <v>2</v>
      </c>
      <c r="F9" s="15">
        <f>'Teknik og Miljø'!E8</f>
        <v>4</v>
      </c>
      <c r="G9" s="15">
        <f>'Børn og Unge'!E8</f>
        <v>1</v>
      </c>
      <c r="H9" s="15">
        <f>Velfærd!E8</f>
        <v>2</v>
      </c>
      <c r="I9" s="15">
        <f>'Kultur og Sundhed'!E8</f>
        <v>4</v>
      </c>
      <c r="J9" s="18">
        <f>'Kommunaldirektørens Stabe'!E8</f>
        <v>2</v>
      </c>
      <c r="K9" s="19">
        <f t="shared" si="0"/>
        <v>2.5</v>
      </c>
      <c r="L9" s="21">
        <f t="shared" si="1"/>
        <v>3</v>
      </c>
      <c r="M9" s="21">
        <f t="shared" si="2"/>
        <v>4</v>
      </c>
      <c r="N9" s="23">
        <v>2.5</v>
      </c>
    </row>
    <row r="11" spans="1:14" x14ac:dyDescent="0.25">
      <c r="A11" s="1" t="s">
        <v>3</v>
      </c>
      <c r="K11" s="17"/>
      <c r="L11" s="22"/>
      <c r="M11" s="22"/>
    </row>
    <row r="12" spans="1:14" x14ac:dyDescent="0.25">
      <c r="A12" s="1"/>
      <c r="B12" s="33" t="s">
        <v>10</v>
      </c>
      <c r="C12" s="26"/>
      <c r="D12" s="27"/>
      <c r="E12" s="28">
        <f>'Økonomi og Arbejdsmarked'!E10</f>
        <v>4</v>
      </c>
      <c r="F12" s="29">
        <f>'Teknik og Miljø'!E10</f>
        <v>2</v>
      </c>
      <c r="G12" s="15">
        <f>'Børn og Unge'!E10</f>
        <v>4</v>
      </c>
      <c r="H12" s="15">
        <f>Velfærd!E10</f>
        <v>2</v>
      </c>
      <c r="I12" s="15">
        <f>'Kultur og Sundhed'!E10</f>
        <v>3</v>
      </c>
      <c r="J12" s="18">
        <f>'Kommunaldirektørens Stabe'!E10</f>
        <v>4</v>
      </c>
      <c r="K12" s="19">
        <f>AVERAGE(E12:J12)</f>
        <v>3.1666666666666665</v>
      </c>
      <c r="L12" s="21">
        <f>ROUND(K12:K12,0)</f>
        <v>3</v>
      </c>
      <c r="M12" s="21">
        <f>MAX(E12:J12)</f>
        <v>4</v>
      </c>
      <c r="N12" s="23">
        <v>2.5</v>
      </c>
    </row>
    <row r="13" spans="1:14" x14ac:dyDescent="0.25">
      <c r="B13" s="31" t="s">
        <v>11</v>
      </c>
      <c r="C13" s="3"/>
      <c r="D13" s="4"/>
      <c r="E13" s="24">
        <v>3</v>
      </c>
      <c r="F13" s="29">
        <f>'Teknik og Miljø'!E11</f>
        <v>2</v>
      </c>
      <c r="G13" s="15">
        <f>'Børn og Unge'!E11</f>
        <v>1</v>
      </c>
      <c r="H13" s="15">
        <f>Velfærd!E11</f>
        <v>2</v>
      </c>
      <c r="I13" s="15">
        <f>'Kultur og Sundhed'!E11</f>
        <v>1</v>
      </c>
      <c r="J13" s="18">
        <f>'Kommunaldirektørens Stabe'!E11</f>
        <v>1</v>
      </c>
      <c r="K13" s="19">
        <f t="shared" si="0"/>
        <v>1.6666666666666667</v>
      </c>
      <c r="L13" s="21">
        <f t="shared" si="1"/>
        <v>2</v>
      </c>
      <c r="M13" s="21">
        <f>MAX(E13:J13)</f>
        <v>3</v>
      </c>
      <c r="N13" s="23">
        <v>3</v>
      </c>
    </row>
    <row r="14" spans="1:14" x14ac:dyDescent="0.25">
      <c r="B14" s="31" t="s">
        <v>12</v>
      </c>
      <c r="C14" s="3"/>
      <c r="D14" s="4"/>
      <c r="E14" s="15">
        <v>4</v>
      </c>
      <c r="F14" s="29">
        <f>'Teknik og Miljø'!E12</f>
        <v>3</v>
      </c>
      <c r="G14" s="15">
        <f>'Børn og Unge'!E12</f>
        <v>3</v>
      </c>
      <c r="H14" s="15">
        <f>Velfærd!E12</f>
        <v>2</v>
      </c>
      <c r="I14" s="15">
        <f>'Kultur og Sundhed'!E12</f>
        <v>4</v>
      </c>
      <c r="J14" s="18">
        <f>'Kommunaldirektørens Stabe'!E12</f>
        <v>4</v>
      </c>
      <c r="K14" s="19">
        <f t="shared" si="0"/>
        <v>3.3333333333333335</v>
      </c>
      <c r="L14" s="21">
        <f t="shared" si="1"/>
        <v>3</v>
      </c>
      <c r="M14" s="21">
        <f t="shared" ref="M14" si="3">MAX(E14:J14)</f>
        <v>4</v>
      </c>
      <c r="N14" s="23">
        <v>3</v>
      </c>
    </row>
    <row r="15" spans="1:14" x14ac:dyDescent="0.25">
      <c r="B15" s="31" t="s">
        <v>13</v>
      </c>
      <c r="C15" s="3"/>
      <c r="D15" s="4"/>
      <c r="E15" s="15">
        <f>'Økonomi og Arbejdsmarked'!E13</f>
        <v>3</v>
      </c>
      <c r="F15" s="29">
        <f>'Teknik og Miljø'!E13</f>
        <v>4</v>
      </c>
      <c r="G15" s="15">
        <f>'Børn og Unge'!E13</f>
        <v>3</v>
      </c>
      <c r="H15" s="15">
        <f>Velfærd!E13</f>
        <v>4</v>
      </c>
      <c r="I15" s="15">
        <f>'Kultur og Sundhed'!E13</f>
        <v>4</v>
      </c>
      <c r="J15" s="18">
        <f>'Kommunaldirektørens Stabe'!E13</f>
        <v>4</v>
      </c>
      <c r="K15" s="19">
        <f t="shared" si="0"/>
        <v>3.6666666666666665</v>
      </c>
      <c r="L15" s="21">
        <f t="shared" si="1"/>
        <v>4</v>
      </c>
      <c r="M15" s="21">
        <f>MAX(E15:J15)</f>
        <v>4</v>
      </c>
      <c r="N15" s="23">
        <v>2.5</v>
      </c>
    </row>
    <row r="16" spans="1:14" x14ac:dyDescent="0.25">
      <c r="A16" s="1" t="s">
        <v>4</v>
      </c>
      <c r="E16" s="16"/>
      <c r="F16" s="16"/>
      <c r="G16" s="16"/>
      <c r="H16" s="16"/>
      <c r="I16" s="16"/>
      <c r="J16" s="16"/>
      <c r="K16" s="17"/>
      <c r="L16" s="21"/>
      <c r="M16" s="22"/>
    </row>
    <row r="17" spans="1:14" x14ac:dyDescent="0.25">
      <c r="B17" s="33" t="s">
        <v>14</v>
      </c>
      <c r="C17" s="26"/>
      <c r="D17" s="30"/>
      <c r="E17" s="29">
        <f>'Økonomi og Arbejdsmarked'!E15</f>
        <v>4</v>
      </c>
      <c r="F17" s="15">
        <f>'Teknik og Miljø'!E15</f>
        <v>4</v>
      </c>
      <c r="G17" s="15">
        <f>'Børn og Unge'!E15</f>
        <v>4</v>
      </c>
      <c r="H17" s="15">
        <f>Velfærd!E15</f>
        <v>4</v>
      </c>
      <c r="I17" s="15">
        <f>'Kultur og Sundhed'!E15</f>
        <v>4</v>
      </c>
      <c r="J17" s="18">
        <f>'Kommunaldirektørens Stabe'!E15</f>
        <v>4</v>
      </c>
      <c r="K17" s="19">
        <f t="shared" si="0"/>
        <v>4</v>
      </c>
      <c r="L17" s="21">
        <f t="shared" si="1"/>
        <v>4</v>
      </c>
      <c r="M17" s="21">
        <f t="shared" ref="M17:M18" si="4">MAX(E17:J17)</f>
        <v>4</v>
      </c>
      <c r="N17" s="23">
        <v>3.5</v>
      </c>
    </row>
    <row r="18" spans="1:14" x14ac:dyDescent="0.25">
      <c r="B18" s="8" t="s">
        <v>15</v>
      </c>
      <c r="C18" s="3"/>
      <c r="D18" s="4"/>
      <c r="E18" s="29">
        <f>'Økonomi og Arbejdsmarked'!E16</f>
        <v>4</v>
      </c>
      <c r="F18" s="15">
        <f>'Teknik og Miljø'!E16</f>
        <v>4</v>
      </c>
      <c r="G18" s="15">
        <f>'Børn og Unge'!E16</f>
        <v>4</v>
      </c>
      <c r="H18" s="15">
        <f>Velfærd!E16</f>
        <v>4</v>
      </c>
      <c r="I18" s="15">
        <f>'Kultur og Sundhed'!E16</f>
        <v>4</v>
      </c>
      <c r="J18" s="18">
        <f>'Kommunaldirektørens Stabe'!E16</f>
        <v>4</v>
      </c>
      <c r="K18" s="19">
        <f t="shared" si="0"/>
        <v>4</v>
      </c>
      <c r="L18" s="21">
        <f t="shared" si="1"/>
        <v>4</v>
      </c>
      <c r="M18" s="21">
        <f t="shared" si="4"/>
        <v>4</v>
      </c>
      <c r="N18" s="23">
        <v>3.5</v>
      </c>
    </row>
    <row r="19" spans="1:14" x14ac:dyDescent="0.25">
      <c r="E19" s="16"/>
      <c r="F19" s="16"/>
      <c r="G19" s="16"/>
      <c r="H19" s="16"/>
      <c r="I19" s="16"/>
      <c r="J19" s="16"/>
      <c r="K19" s="17"/>
      <c r="L19" s="22"/>
      <c r="M19" s="22"/>
    </row>
    <row r="20" spans="1:14" ht="15.75" x14ac:dyDescent="0.25">
      <c r="A20" s="10" t="s">
        <v>16</v>
      </c>
      <c r="B20" s="2"/>
      <c r="E20" s="16"/>
      <c r="F20" s="16"/>
      <c r="G20" s="16"/>
      <c r="H20" s="16"/>
      <c r="I20" s="16"/>
      <c r="J20" s="16"/>
      <c r="K20" s="17"/>
      <c r="L20" s="22"/>
      <c r="M20" s="22"/>
    </row>
    <row r="21" spans="1:14" x14ac:dyDescent="0.25">
      <c r="A21" s="1" t="s">
        <v>1</v>
      </c>
      <c r="E21" s="16"/>
      <c r="F21" s="16"/>
      <c r="G21" s="16"/>
      <c r="H21" s="16"/>
      <c r="I21" s="16"/>
      <c r="J21" s="16"/>
      <c r="K21" s="17"/>
      <c r="L21" s="22"/>
      <c r="M21" s="22"/>
    </row>
    <row r="22" spans="1:14" x14ac:dyDescent="0.25">
      <c r="A22" s="1" t="s">
        <v>2</v>
      </c>
      <c r="E22" s="16"/>
      <c r="F22" s="16"/>
      <c r="G22" s="16"/>
      <c r="H22" s="16"/>
      <c r="I22" s="16"/>
      <c r="J22" s="16"/>
      <c r="K22" s="17"/>
      <c r="L22" s="22"/>
      <c r="M22" s="22"/>
    </row>
    <row r="23" spans="1:14" x14ac:dyDescent="0.25">
      <c r="A23" s="1"/>
      <c r="B23" s="32" t="s">
        <v>17</v>
      </c>
      <c r="C23" s="6"/>
      <c r="D23" s="7"/>
      <c r="E23" s="15">
        <f>'Økonomi og Arbejdsmarked'!E21</f>
        <v>1</v>
      </c>
      <c r="F23" s="15">
        <f>'Teknik og Miljø'!E21</f>
        <v>2</v>
      </c>
      <c r="G23" s="15">
        <f>'Børn og Unge'!E21</f>
        <v>1</v>
      </c>
      <c r="H23" s="15">
        <f>Velfærd!E21</f>
        <v>1</v>
      </c>
      <c r="I23" s="15">
        <f>'Kultur og Sundhed'!E21</f>
        <v>1</v>
      </c>
      <c r="J23" s="18">
        <f>'Kommunaldirektørens Stabe'!E21</f>
        <v>1</v>
      </c>
      <c r="K23" s="19">
        <f>AVERAGE(E23:J23)</f>
        <v>1.1666666666666667</v>
      </c>
      <c r="L23" s="21">
        <f>ROUND(K23:K23,0)</f>
        <v>1</v>
      </c>
      <c r="M23" s="21">
        <f>MAX(E23:J23)</f>
        <v>2</v>
      </c>
      <c r="N23" s="23">
        <v>1.5</v>
      </c>
    </row>
    <row r="24" spans="1:14" x14ac:dyDescent="0.25">
      <c r="A24" s="1" t="s">
        <v>3</v>
      </c>
      <c r="E24" s="16"/>
      <c r="F24" s="16"/>
      <c r="G24" s="16"/>
      <c r="H24" s="16"/>
      <c r="I24" s="16"/>
      <c r="J24" s="16"/>
      <c r="K24" s="17"/>
      <c r="L24" s="17"/>
      <c r="M24" s="22"/>
    </row>
    <row r="25" spans="1:14" x14ac:dyDescent="0.25">
      <c r="A25" s="1"/>
      <c r="B25" s="32" t="s">
        <v>18</v>
      </c>
      <c r="C25" s="6"/>
      <c r="D25" s="7"/>
      <c r="E25" s="15">
        <f>'Økonomi og Arbejdsmarked'!E23</f>
        <v>2</v>
      </c>
      <c r="F25" s="15">
        <f>'Teknik og Miljø'!E23</f>
        <v>2</v>
      </c>
      <c r="G25" s="15">
        <f>'Børn og Unge'!E23</f>
        <v>4</v>
      </c>
      <c r="H25" s="15">
        <f>Velfærd!E23</f>
        <v>2</v>
      </c>
      <c r="I25" s="15">
        <f>'Kultur og Sundhed'!E23</f>
        <v>4</v>
      </c>
      <c r="J25" s="18">
        <f>'Kommunaldirektørens Stabe'!E23</f>
        <v>2</v>
      </c>
      <c r="K25" s="19">
        <f>AVERAGE(E25:J25)</f>
        <v>2.6666666666666665</v>
      </c>
      <c r="L25" s="21">
        <f>ROUND(K25:K25,0)</f>
        <v>3</v>
      </c>
      <c r="M25" s="21">
        <f>MAX(E25:J25)</f>
        <v>4</v>
      </c>
      <c r="N25" s="23">
        <v>1.5</v>
      </c>
    </row>
    <row r="26" spans="1:14" x14ac:dyDescent="0.25">
      <c r="B26" s="32" t="s">
        <v>19</v>
      </c>
      <c r="C26" s="6"/>
      <c r="D26" s="7"/>
      <c r="E26" s="15">
        <f>'Økonomi og Arbejdsmarked'!E24</f>
        <v>2</v>
      </c>
      <c r="F26" s="15">
        <f>'Teknik og Miljø'!E24</f>
        <v>2</v>
      </c>
      <c r="G26" s="15">
        <f>'Børn og Unge'!E24</f>
        <v>4</v>
      </c>
      <c r="H26" s="15">
        <f>Velfærd!E24</f>
        <v>2</v>
      </c>
      <c r="I26" s="15">
        <f>'Kultur og Sundhed'!E24</f>
        <v>2</v>
      </c>
      <c r="J26" s="18">
        <f>'Kommunaldirektørens Stabe'!E24</f>
        <v>4</v>
      </c>
      <c r="K26" s="19">
        <f t="shared" si="0"/>
        <v>2.6666666666666665</v>
      </c>
      <c r="L26" s="21">
        <f t="shared" si="1"/>
        <v>3</v>
      </c>
      <c r="M26" s="21">
        <f>MAX(E26:J26)</f>
        <v>4</v>
      </c>
      <c r="N26" s="23">
        <v>2.5</v>
      </c>
    </row>
    <row r="27" spans="1:14" x14ac:dyDescent="0.25">
      <c r="B27" s="31" t="s">
        <v>20</v>
      </c>
      <c r="C27" s="3"/>
      <c r="D27" s="4"/>
      <c r="E27" s="15">
        <f>'Økonomi og Arbejdsmarked'!E25</f>
        <v>4</v>
      </c>
      <c r="F27" s="15">
        <f>'Teknik og Miljø'!E25</f>
        <v>2</v>
      </c>
      <c r="G27" s="15">
        <f>'Børn og Unge'!E25</f>
        <v>1</v>
      </c>
      <c r="H27" s="15">
        <f>Velfærd!E25</f>
        <v>2</v>
      </c>
      <c r="I27" s="15">
        <f>'Kultur og Sundhed'!E25</f>
        <v>2</v>
      </c>
      <c r="J27" s="18">
        <f>'Kommunaldirektørens Stabe'!E25</f>
        <v>4</v>
      </c>
      <c r="K27" s="19">
        <f t="shared" si="0"/>
        <v>2.5</v>
      </c>
      <c r="L27" s="21">
        <f t="shared" si="1"/>
        <v>3</v>
      </c>
      <c r="M27" s="21">
        <f t="shared" ref="M27:M31" si="5">MAX(E27:J27)</f>
        <v>4</v>
      </c>
      <c r="N27" s="23">
        <v>2.5</v>
      </c>
    </row>
    <row r="28" spans="1:14" x14ac:dyDescent="0.25">
      <c r="B28" s="31" t="s">
        <v>21</v>
      </c>
      <c r="C28" s="3"/>
      <c r="D28" s="4"/>
      <c r="E28" s="15">
        <f>'Økonomi og Arbejdsmarked'!E26</f>
        <v>4</v>
      </c>
      <c r="F28" s="15">
        <f>'Teknik og Miljø'!E26</f>
        <v>4</v>
      </c>
      <c r="G28" s="15">
        <f>'Børn og Unge'!E26</f>
        <v>4</v>
      </c>
      <c r="H28" s="15">
        <f>Velfærd!E26</f>
        <v>4</v>
      </c>
      <c r="I28" s="15">
        <f>'Kultur og Sundhed'!E26</f>
        <v>3</v>
      </c>
      <c r="J28" s="18">
        <f>'Kommunaldirektørens Stabe'!E26</f>
        <v>2</v>
      </c>
      <c r="K28" s="19">
        <f t="shared" si="0"/>
        <v>3.5</v>
      </c>
      <c r="L28" s="21">
        <f t="shared" si="1"/>
        <v>4</v>
      </c>
      <c r="M28" s="21">
        <f>MAX(E28:J28)</f>
        <v>4</v>
      </c>
      <c r="N28" s="23">
        <v>2.5</v>
      </c>
    </row>
    <row r="29" spans="1:14" x14ac:dyDescent="0.25">
      <c r="B29" s="31" t="s">
        <v>22</v>
      </c>
      <c r="C29" s="3"/>
      <c r="D29" s="4"/>
      <c r="E29" s="15">
        <f>'Økonomi og Arbejdsmarked'!E27</f>
        <v>2</v>
      </c>
      <c r="F29" s="15">
        <f>'Teknik og Miljø'!E27</f>
        <v>4</v>
      </c>
      <c r="G29" s="15">
        <f>'Børn og Unge'!E27</f>
        <v>4</v>
      </c>
      <c r="H29" s="15">
        <f>Velfærd!E27</f>
        <v>4</v>
      </c>
      <c r="I29" s="15">
        <f>'Kultur og Sundhed'!E27</f>
        <v>4</v>
      </c>
      <c r="J29" s="18">
        <f>'Kommunaldirektørens Stabe'!E27</f>
        <v>2</v>
      </c>
      <c r="K29" s="19">
        <f t="shared" si="0"/>
        <v>3.3333333333333335</v>
      </c>
      <c r="L29" s="21">
        <f t="shared" si="1"/>
        <v>3</v>
      </c>
      <c r="M29" s="21">
        <f t="shared" si="5"/>
        <v>4</v>
      </c>
      <c r="N29" s="23">
        <v>3.5</v>
      </c>
    </row>
    <row r="30" spans="1:14" x14ac:dyDescent="0.25">
      <c r="B30" s="31" t="s">
        <v>23</v>
      </c>
      <c r="C30" s="3"/>
      <c r="D30" s="4"/>
      <c r="E30" s="15">
        <f>'Økonomi og Arbejdsmarked'!E28</f>
        <v>3</v>
      </c>
      <c r="F30" s="15">
        <f>'Teknik og Miljø'!E28</f>
        <v>4</v>
      </c>
      <c r="G30" s="15">
        <f>'Børn og Unge'!E28</f>
        <v>4</v>
      </c>
      <c r="H30" s="15">
        <f>Velfærd!E28</f>
        <v>4</v>
      </c>
      <c r="I30" s="15">
        <f>'Kultur og Sundhed'!E28</f>
        <v>4</v>
      </c>
      <c r="J30" s="18">
        <f>'Kommunaldirektørens Stabe'!E28</f>
        <v>1</v>
      </c>
      <c r="K30" s="19">
        <f t="shared" si="0"/>
        <v>3.3333333333333335</v>
      </c>
      <c r="L30" s="21">
        <f t="shared" si="1"/>
        <v>3</v>
      </c>
      <c r="M30" s="21">
        <f t="shared" si="5"/>
        <v>4</v>
      </c>
      <c r="N30" s="23">
        <v>3</v>
      </c>
    </row>
    <row r="31" spans="1:14" x14ac:dyDescent="0.25">
      <c r="B31" s="31" t="s">
        <v>24</v>
      </c>
      <c r="C31" s="3"/>
      <c r="D31" s="4"/>
      <c r="E31" s="15">
        <f>'Økonomi og Arbejdsmarked'!E29</f>
        <v>1</v>
      </c>
      <c r="F31" s="15">
        <f>'Teknik og Miljø'!E29</f>
        <v>4</v>
      </c>
      <c r="G31" s="15">
        <f>'Børn og Unge'!E29</f>
        <v>2</v>
      </c>
      <c r="H31" s="15">
        <f>Velfærd!E29</f>
        <v>1</v>
      </c>
      <c r="I31" s="15">
        <f>'Kultur og Sundhed'!E29</f>
        <v>3</v>
      </c>
      <c r="J31" s="18">
        <f>'Kommunaldirektørens Stabe'!E29</f>
        <v>1</v>
      </c>
      <c r="K31" s="19">
        <f t="shared" si="0"/>
        <v>2</v>
      </c>
      <c r="L31" s="21">
        <f t="shared" si="1"/>
        <v>2</v>
      </c>
      <c r="M31" s="21">
        <f t="shared" si="5"/>
        <v>4</v>
      </c>
      <c r="N31" s="23">
        <v>3.5</v>
      </c>
    </row>
    <row r="32" spans="1:14" x14ac:dyDescent="0.25">
      <c r="B32" s="31" t="s">
        <v>25</v>
      </c>
      <c r="C32" s="3"/>
      <c r="D32" s="4"/>
      <c r="E32" s="15">
        <f>'Økonomi og Arbejdsmarked'!E30</f>
        <v>1</v>
      </c>
      <c r="F32" s="15">
        <f>'Teknik og Miljø'!E30</f>
        <v>2</v>
      </c>
      <c r="G32" s="15">
        <f>'Børn og Unge'!E30</f>
        <v>4</v>
      </c>
      <c r="H32" s="15">
        <f>Velfærd!E30</f>
        <v>3</v>
      </c>
      <c r="I32" s="15">
        <f>'Kultur og Sundhed'!E30</f>
        <v>4</v>
      </c>
      <c r="J32" s="18">
        <f>'Kommunaldirektørens Stabe'!E30</f>
        <v>4</v>
      </c>
      <c r="K32" s="19">
        <f t="shared" si="0"/>
        <v>3</v>
      </c>
      <c r="L32" s="21">
        <f t="shared" si="1"/>
        <v>3</v>
      </c>
      <c r="M32" s="21">
        <f>MAX(E32:J32)</f>
        <v>4</v>
      </c>
      <c r="N32" s="23">
        <v>3</v>
      </c>
    </row>
    <row r="33" spans="1:14" x14ac:dyDescent="0.25">
      <c r="A33" s="1" t="s">
        <v>4</v>
      </c>
      <c r="E33" s="16"/>
      <c r="F33" s="16"/>
      <c r="G33" s="16"/>
      <c r="H33" s="16"/>
      <c r="I33" s="16"/>
      <c r="J33" s="16"/>
      <c r="K33" s="17"/>
      <c r="L33" s="22"/>
      <c r="M33" s="22"/>
    </row>
    <row r="34" spans="1:14" x14ac:dyDescent="0.25">
      <c r="B34" s="32" t="s">
        <v>26</v>
      </c>
      <c r="C34" s="6"/>
      <c r="D34" s="7"/>
      <c r="E34" s="15">
        <f>'Økonomi og Arbejdsmarked'!E32</f>
        <v>4</v>
      </c>
      <c r="F34" s="15">
        <f>'Teknik og Miljø'!E32</f>
        <v>4</v>
      </c>
      <c r="G34" s="15">
        <f>'Børn og Unge'!E32</f>
        <v>4</v>
      </c>
      <c r="H34" s="15">
        <f>Velfærd!E32</f>
        <v>4</v>
      </c>
      <c r="I34" s="15">
        <f>'Kultur og Sundhed'!E32</f>
        <v>4</v>
      </c>
      <c r="J34" s="18">
        <f>'Kommunaldirektørens Stabe'!E32</f>
        <v>4</v>
      </c>
      <c r="K34" s="19">
        <f t="shared" si="0"/>
        <v>4</v>
      </c>
      <c r="L34" s="21">
        <f t="shared" si="1"/>
        <v>4</v>
      </c>
      <c r="M34" s="21">
        <f>MAX(E34:J34)</f>
        <v>4</v>
      </c>
      <c r="N34" s="23">
        <v>3.5</v>
      </c>
    </row>
    <row r="35" spans="1:14" x14ac:dyDescent="0.25">
      <c r="B35" s="31" t="s">
        <v>27</v>
      </c>
      <c r="C35" s="3"/>
      <c r="D35" s="4"/>
      <c r="E35" s="15">
        <f>'Økonomi og Arbejdsmarked'!E33</f>
        <v>4</v>
      </c>
      <c r="F35" s="15">
        <f>'Teknik og Miljø'!E33</f>
        <v>4</v>
      </c>
      <c r="G35" s="15">
        <f>'Børn og Unge'!E33</f>
        <v>4</v>
      </c>
      <c r="H35" s="15">
        <f>Velfærd!E33</f>
        <v>4</v>
      </c>
      <c r="I35" s="15">
        <f>'Kultur og Sundhed'!E33</f>
        <v>4</v>
      </c>
      <c r="J35" s="18">
        <f>'Kommunaldirektørens Stabe'!E33</f>
        <v>4</v>
      </c>
      <c r="K35" s="19">
        <f t="shared" si="0"/>
        <v>4</v>
      </c>
      <c r="L35" s="21">
        <f t="shared" si="1"/>
        <v>4</v>
      </c>
      <c r="M35" s="21">
        <f t="shared" ref="M35:M37" si="6">MAX(E35:J35)</f>
        <v>4</v>
      </c>
      <c r="N35" s="23">
        <v>3</v>
      </c>
    </row>
    <row r="36" spans="1:14" x14ac:dyDescent="0.25">
      <c r="B36" s="31" t="s">
        <v>28</v>
      </c>
      <c r="C36" s="3"/>
      <c r="D36" s="4"/>
      <c r="E36" s="15">
        <f>'Økonomi og Arbejdsmarked'!E34</f>
        <v>4</v>
      </c>
      <c r="F36" s="15">
        <f>'Teknik og Miljø'!E34</f>
        <v>4</v>
      </c>
      <c r="G36" s="15">
        <f>'Børn og Unge'!E34</f>
        <v>4</v>
      </c>
      <c r="H36" s="15">
        <f>Velfærd!E34</f>
        <v>4</v>
      </c>
      <c r="I36" s="15">
        <f>'Kultur og Sundhed'!E34</f>
        <v>4</v>
      </c>
      <c r="J36" s="18">
        <f>'Kommunaldirektørens Stabe'!E34</f>
        <v>4</v>
      </c>
      <c r="K36" s="19">
        <f t="shared" si="0"/>
        <v>4</v>
      </c>
      <c r="L36" s="21">
        <f t="shared" si="1"/>
        <v>4</v>
      </c>
      <c r="M36" s="21">
        <f t="shared" si="6"/>
        <v>4</v>
      </c>
      <c r="N36" s="23">
        <v>3.5</v>
      </c>
    </row>
    <row r="37" spans="1:14" x14ac:dyDescent="0.25">
      <c r="B37" s="31" t="s">
        <v>29</v>
      </c>
      <c r="C37" s="3"/>
      <c r="D37" s="4"/>
      <c r="E37" s="15">
        <f>'Økonomi og Arbejdsmarked'!E35</f>
        <v>4</v>
      </c>
      <c r="F37" s="15">
        <f>'Teknik og Miljø'!E35</f>
        <v>4</v>
      </c>
      <c r="G37" s="15">
        <f>'Børn og Unge'!E35</f>
        <v>4</v>
      </c>
      <c r="H37" s="15">
        <f>Velfærd!E35</f>
        <v>4</v>
      </c>
      <c r="I37" s="15">
        <f>'Kultur og Sundhed'!E35</f>
        <v>4</v>
      </c>
      <c r="J37" s="18">
        <f>'Kommunaldirektørens Stabe'!E35</f>
        <v>4</v>
      </c>
      <c r="K37" s="19">
        <f t="shared" si="0"/>
        <v>4</v>
      </c>
      <c r="L37" s="21">
        <f t="shared" si="1"/>
        <v>4</v>
      </c>
      <c r="M37" s="21">
        <f t="shared" si="6"/>
        <v>4</v>
      </c>
      <c r="N37" s="23">
        <v>3.5</v>
      </c>
    </row>
    <row r="40" spans="1:14" x14ac:dyDescent="0.25">
      <c r="B40" t="s">
        <v>30</v>
      </c>
    </row>
    <row r="41" spans="1:14" x14ac:dyDescent="0.25">
      <c r="B41" t="s">
        <v>31</v>
      </c>
    </row>
    <row r="44" spans="1:14" x14ac:dyDescent="0.25">
      <c r="A44" s="34" t="s">
        <v>32</v>
      </c>
      <c r="B44" s="34"/>
    </row>
    <row r="45" spans="1:14" x14ac:dyDescent="0.25">
      <c r="B45" t="s">
        <v>33</v>
      </c>
    </row>
    <row r="46" spans="1:14" x14ac:dyDescent="0.25">
      <c r="B46" t="s">
        <v>34</v>
      </c>
    </row>
  </sheetData>
  <mergeCells count="1">
    <mergeCell ref="A44:B44"/>
  </mergeCells>
  <conditionalFormatting sqref="F2:I2">
    <cfRule type="colorScale" priority="2">
      <colorScale>
        <cfvo type="min"/>
        <cfvo type="percentile" val="50"/>
        <cfvo type="max"/>
        <color rgb="FFFF5050"/>
        <color theme="7" tint="0.79998168889431442"/>
        <color theme="9" tint="0.39997558519241921"/>
      </colorScale>
    </cfRule>
  </conditionalFormatting>
  <conditionalFormatting sqref="E7:M9 E11:M37">
    <cfRule type="colorScale" priority="20">
      <colorScale>
        <cfvo type="min"/>
        <cfvo type="percentile" val="50"/>
        <cfvo type="max"/>
        <color rgb="FFFF5050"/>
        <color theme="7" tint="0.59999389629810485"/>
        <color theme="9" tint="0.39997558519241921"/>
      </colorScale>
    </cfRule>
  </conditionalFormatting>
  <conditionalFormatting sqref="N7:N9 N11:N37">
    <cfRule type="colorScale" priority="22">
      <colorScale>
        <cfvo type="min"/>
        <cfvo type="percentile" val="50"/>
        <cfvo type="max"/>
        <color rgb="FFFF5050"/>
        <color theme="7" tint="0.59999389629810485"/>
        <color theme="9" tint="0.39997558519241921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6a19e6a-6958-459b-9a26-cca8c8c9aa91" xsi:nil="true"/>
    <lcf76f155ced4ddcb4097134ff3c332f xmlns="9f256ba1-6f41-4c02-b0c0-57be049d45a9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C7DA9B19C16EA489495099EFB1EA93E" ma:contentTypeVersion="13" ma:contentTypeDescription="Create a new document." ma:contentTypeScope="" ma:versionID="55f5652722d9757dac258176469b49bd">
  <xsd:schema xmlns:xsd="http://www.w3.org/2001/XMLSchema" xmlns:xs="http://www.w3.org/2001/XMLSchema" xmlns:p="http://schemas.microsoft.com/office/2006/metadata/properties" xmlns:ns2="9f256ba1-6f41-4c02-b0c0-57be049d45a9" xmlns:ns3="d6a19e6a-6958-459b-9a26-cca8c8c9aa91" targetNamespace="http://schemas.microsoft.com/office/2006/metadata/properties" ma:root="true" ma:fieldsID="5d3b4ace6aaa7baaea6835ae6dc0a688" ns2:_="" ns3:_="">
    <xsd:import namespace="9f256ba1-6f41-4c02-b0c0-57be049d45a9"/>
    <xsd:import namespace="d6a19e6a-6958-459b-9a26-cca8c8c9aa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256ba1-6f41-4c02-b0c0-57be049d45a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4a7cdebc-78d2-4742-a55c-ca0afb0961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a19e6a-6958-459b-9a26-cca8c8c9aa9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04569f7-4246-4ad5-943b-261f14f3041d}" ma:internalName="TaxCatchAll" ma:showField="CatchAllData" ma:web="d6a19e6a-6958-459b-9a26-cca8c8c9aa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CACDFCB-8D8E-4FE6-978C-B1FE8D5EA14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C27FE41-AC71-44B2-8103-30510D873E08}">
  <ds:schemaRefs>
    <ds:schemaRef ds:uri="http://purl.org/dc/terms/"/>
    <ds:schemaRef ds:uri="http://schemas.openxmlformats.org/package/2006/metadata/core-properties"/>
    <ds:schemaRef ds:uri="http://purl.org/dc/dcmitype/"/>
    <ds:schemaRef ds:uri="9f256ba1-6f41-4c02-b0c0-57be049d45a9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d6a19e6a-6958-459b-9a26-cca8c8c9aa9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3F52ECD-D697-4AA9-8ADF-0ED2F7E71F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f256ba1-6f41-4c02-b0c0-57be049d45a9"/>
    <ds:schemaRef ds:uri="d6a19e6a-6958-459b-9a26-cca8c8c9aa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7</vt:i4>
      </vt:variant>
    </vt:vector>
  </HeadingPairs>
  <TitlesOfParts>
    <vt:vector size="7" baseType="lpstr">
      <vt:lpstr>Økonomi og Arbejdsmarked</vt:lpstr>
      <vt:lpstr>Kultur og Sundhed</vt:lpstr>
      <vt:lpstr>Teknik og Miljø</vt:lpstr>
      <vt:lpstr>Børn og Unge</vt:lpstr>
      <vt:lpstr>Velfærd</vt:lpstr>
      <vt:lpstr>Kommunaldirektørens Stabe</vt:lpstr>
      <vt:lpstr>Overordnet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Nicklas Korsgaard Birch Fledelius  IT - Drift &amp; Support  Økonomi  Vejle Kommune</dc:creator>
  <cp:keywords/>
  <dc:description/>
  <cp:lastModifiedBy>Danny Ray Justice  IT - Drift &amp; Support  Økonomi  Vejl</cp:lastModifiedBy>
  <cp:revision/>
  <dcterms:created xsi:type="dcterms:W3CDTF">2021-04-21T13:01:18Z</dcterms:created>
  <dcterms:modified xsi:type="dcterms:W3CDTF">2023-03-21T09:07:42Z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0x0101001C7DA9B19C16EA489495099EFB1EA93E</vt:lpwstr>
  </property>
  <property fmtid="{D5CDD505-2E9C-101B-9397-08002B2CF9AE}" pid="3" name="MediaServiceImageTags">
    <vt:lpwstr/>
  </property>
</Properties>
</file>